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16.xml" ContentType="application/vnd.openxmlformats-officedocument.spreadsheetml.table+xml"/>
  <Override PartName="/xl/drawings/drawing7.xml" ContentType="application/vnd.openxmlformats-officedocument.drawing+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sarthakraj/Desktop/Documents/UMASS/Fall 24/601 DataMgmt/Project/"/>
    </mc:Choice>
  </mc:AlternateContent>
  <xr:revisionPtr revIDLastSave="0" documentId="13_ncr:1_{65446586-5B9B-C849-AE14-1EBE63D58BD1}" xr6:coauthVersionLast="47" xr6:coauthVersionMax="47" xr10:uidLastSave="{00000000-0000-0000-0000-000000000000}"/>
  <bookViews>
    <workbookView xWindow="29400" yWindow="-10020" windowWidth="51200" windowHeight="28300" tabRatio="646" activeTab="13" xr2:uid="{9E3D515B-3719-4CDF-B7AE-BA10D69C7B2B}"/>
  </bookViews>
  <sheets>
    <sheet name="Plan" sheetId="1" state="hidden" r:id="rId1"/>
    <sheet name="Tax" sheetId="2" state="hidden" r:id="rId2"/>
    <sheet name="Pollution " sheetId="9" state="hidden" r:id="rId3"/>
    <sheet name="weekly earnings" sheetId="4" state="hidden" r:id="rId4"/>
    <sheet name="snowfall" sheetId="5" state="hidden" r:id="rId5"/>
    <sheet name="Water Quality Violations" sheetId="7" state="hidden" r:id="rId6"/>
    <sheet name="Cost of Living" sheetId="8" state="hidden" r:id="rId7"/>
    <sheet name="Rubric" sheetId="22" r:id="rId8"/>
    <sheet name="Data Table 2" sheetId="21" r:id="rId9"/>
    <sheet name="Data Table" sheetId="14" r:id="rId10"/>
    <sheet name="Data Table2" sheetId="13" state="hidden" r:id="rId11"/>
    <sheet name="Population" sheetId="16" state="hidden" r:id="rId12"/>
    <sheet name="Pivot Tables" sheetId="15" r:id="rId13"/>
    <sheet name="Dashboard" sheetId="12" r:id="rId14"/>
    <sheet name="Board 2" sheetId="20" r:id="rId15"/>
    <sheet name="Team Members" sheetId="19" r:id="rId16"/>
    <sheet name="Data Sources" sheetId="18" r:id="rId17"/>
    <sheet name="Ranking" sheetId="3" r:id="rId18"/>
  </sheets>
  <externalReferences>
    <externalReference r:id="rId19"/>
    <externalReference r:id="rId20"/>
    <externalReference r:id="rId21"/>
  </externalReferences>
  <definedNames>
    <definedName name="_xlnm._FilterDatabase" localSheetId="15" hidden="1">'Team Members'!$E$9:$H$9</definedName>
    <definedName name="_xlchart.v1.0" hidden="1">Tax!$A$28</definedName>
    <definedName name="_xlchart.v1.1" hidden="1">Tax!$B$27:$M$27</definedName>
    <definedName name="_xlchart.v1.2" hidden="1">Tax!$B$28:$M$28</definedName>
    <definedName name="_xlchart.v5.3" hidden="1">'Data Table2'!$B$37:$C$37</definedName>
    <definedName name="_xlchart.v5.4" hidden="1">'Data Table2'!$B$38:$C$52</definedName>
    <definedName name="_xlchart.v5.5" hidden="1">'Data Table2'!$D$37</definedName>
    <definedName name="_xlchart.v5.6" hidden="1">'Data Table2'!$D$38:$D$52</definedName>
    <definedName name="Cities">'[1]Survey Data'!$G$2:$G$11</definedName>
    <definedName name="ExternalData_1" localSheetId="1" hidden="1">Tax!$S$16:$T$31</definedName>
    <definedName name="List_of_States">'[2]Travel Time'!#REF!</definedName>
    <definedName name="Slicer_City">#N/A</definedName>
    <definedName name="Slicer_State">#N/A</definedName>
  </definedNames>
  <calcPr calcId="191028"/>
  <pivotCaches>
    <pivotCache cacheId="0" r:id="rId22"/>
    <pivotCache cacheId="1" r:id="rId23"/>
    <pivotCache cacheId="2" r:id="rId24"/>
    <pivotCache cacheId="3" r:id="rId25"/>
    <pivotCache cacheId="4" r:id="rId26"/>
    <pivotCache cacheId="5" r:id="rId27"/>
    <pivotCache cacheId="6" r:id="rId28"/>
  </pivotCaches>
  <extLst>
    <ext xmlns:x14="http://schemas.microsoft.com/office/spreadsheetml/2009/9/main" uri="{BBE1A952-AA13-448e-AADC-164F8A28A991}">
      <x14:slicerCaches>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22" l="1"/>
  <c r="C21" i="22"/>
  <c r="D21" i="22" s="1"/>
  <c r="B47" i="16" l="1"/>
  <c r="B36" i="16"/>
  <c r="B37" i="16"/>
  <c r="B38" i="16"/>
  <c r="B39" i="16"/>
  <c r="B40" i="16"/>
  <c r="B41" i="16"/>
  <c r="B42" i="16"/>
  <c r="B43" i="16"/>
  <c r="B44" i="16"/>
  <c r="B45" i="16"/>
  <c r="B46" i="16"/>
  <c r="F3" i="7"/>
  <c r="B38" i="14"/>
  <c r="B39" i="14" l="1"/>
  <c r="G12" i="16"/>
  <c r="G7" i="16"/>
  <c r="G6" i="16"/>
  <c r="G3" i="16"/>
  <c r="G8" i="16"/>
  <c r="G9" i="16"/>
  <c r="G2" i="16"/>
  <c r="G5" i="16"/>
  <c r="G10" i="16"/>
  <c r="G11" i="16"/>
  <c r="G13" i="16"/>
  <c r="G4" i="16"/>
  <c r="O7" i="2"/>
  <c r="C7" i="2"/>
  <c r="D7" i="2"/>
  <c r="E7" i="2"/>
  <c r="F7" i="2"/>
  <c r="G7" i="2"/>
  <c r="H7" i="2"/>
  <c r="I7" i="2"/>
  <c r="J7" i="2"/>
  <c r="K7" i="2"/>
  <c r="L7" i="2"/>
  <c r="M7" i="2"/>
  <c r="N7" i="2"/>
  <c r="P7" i="2"/>
  <c r="B7" i="2"/>
  <c r="C23" i="2"/>
  <c r="C28" i="2" s="1"/>
  <c r="D23" i="2"/>
  <c r="D28" i="2" s="1"/>
  <c r="E23" i="2"/>
  <c r="E28" i="2" s="1"/>
  <c r="F23" i="2"/>
  <c r="F28" i="2" s="1"/>
  <c r="G23" i="2"/>
  <c r="G28" i="2" s="1"/>
  <c r="H23" i="2"/>
  <c r="H28" i="2" s="1"/>
  <c r="I23" i="2"/>
  <c r="I28" i="2" s="1"/>
  <c r="J23" i="2"/>
  <c r="J28" i="2" s="1"/>
  <c r="K23" i="2"/>
  <c r="K28" i="2" s="1"/>
  <c r="L23" i="2"/>
  <c r="L28" i="2" s="1"/>
  <c r="M23" i="2"/>
  <c r="M28" i="2" s="1"/>
  <c r="B23" i="2"/>
  <c r="B28"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F2CC8F3-AE9F-473F-8ED6-B5073D5400D0}" keepAlive="1" name="Query - Table2" description="Connection to the 'Table2' query in the workbook." type="5" refreshedVersion="8" background="1" saveData="1">
    <dbPr connection="Provider=Microsoft.Mashup.OleDb.1;Data Source=$Workbook$;Location=Table2;Extended Properties=&quot;&quot;" command="SELECT * FROM [Table2]"/>
  </connection>
  <connection id="2" xr16:uid="{A3C14017-BCA3-4228-9BE4-5C7A2A980B51}" keepAlive="1" name="Query - Table2 (2)" description="Connection to the 'Table2 (2)' query in the workbook." type="5" refreshedVersion="8" background="1" saveData="1">
    <dbPr connection="Provider=Microsoft.Mashup.OleDb.1;Data Source=$Workbook$;Location=&quot;Table2 (2)&quot;;Extended Properties=&quot;&quot;" command="SELECT * FROM [Table2 (2)]"/>
  </connection>
  <connection id="3" xr16:uid="{F2FA095D-8E31-40C4-9345-6ED2D6E63DB5}" keepAlive="1" name="Query - Table2 (3)" description="Connection to the 'Table2 (3)' query in the workbook." type="5" refreshedVersion="8" background="1" saveData="1">
    <dbPr connection="Provider=Microsoft.Mashup.OleDb.1;Data Source=$Workbook$;Location=&quot;Table2 (3)&quot;;Extended Properties=&quot;&quot;" command="SELECT * FROM [Table2 (3)]"/>
  </connection>
</connections>
</file>

<file path=xl/sharedStrings.xml><?xml version="1.0" encoding="utf-8"?>
<sst xmlns="http://schemas.openxmlformats.org/spreadsheetml/2006/main" count="1001" uniqueCount="286">
  <si>
    <t>To Do</t>
  </si>
  <si>
    <t>add macros</t>
  </si>
  <si>
    <t>Cities</t>
  </si>
  <si>
    <t>Bagdat </t>
  </si>
  <si>
    <t>Austin</t>
  </si>
  <si>
    <t>Water Quality </t>
  </si>
  <si>
    <t>Boston</t>
  </si>
  <si>
    <t>Cost of living </t>
  </si>
  <si>
    <t>Chicago</t>
  </si>
  <si>
    <t>Dallas</t>
  </si>
  <si>
    <t>Nikitha </t>
  </si>
  <si>
    <t>Denver</t>
  </si>
  <si>
    <t>Snowfall and Crime Rate, Weekly earnings </t>
  </si>
  <si>
    <t>Detroit</t>
  </si>
  <si>
    <t>Las Vegas</t>
  </si>
  <si>
    <t>Aman </t>
  </si>
  <si>
    <t>Los Angeles</t>
  </si>
  <si>
    <t>Pollution Index </t>
  </si>
  <si>
    <t>Miami</t>
  </si>
  <si>
    <t>Population by Age/Gender </t>
  </si>
  <si>
    <t>New York</t>
  </si>
  <si>
    <t>Pittsburg</t>
  </si>
  <si>
    <t>Sarthak </t>
  </si>
  <si>
    <t>San Francisco</t>
  </si>
  <si>
    <t>Transportaion/Travel Time </t>
  </si>
  <si>
    <t>Seattle</t>
  </si>
  <si>
    <t>Sales tax </t>
  </si>
  <si>
    <t>Tampa</t>
  </si>
  <si>
    <t>Food </t>
  </si>
  <si>
    <t>Washington</t>
  </si>
  <si>
    <t>Tax Year</t>
  </si>
  <si>
    <t>Pittsburgh</t>
  </si>
  <si>
    <t>Data Source</t>
  </si>
  <si>
    <t>https://www.census.gov/programs-surveys/stc/data/tables.html</t>
  </si>
  <si>
    <t>Average</t>
  </si>
  <si>
    <t>Rank</t>
  </si>
  <si>
    <t>City, State</t>
  </si>
  <si>
    <t>TX-Austin,Dallas</t>
  </si>
  <si>
    <t>MA-Boston</t>
  </si>
  <si>
    <t>IL-Chicago</t>
  </si>
  <si>
    <t>CO-Denver</t>
  </si>
  <si>
    <t>MI-Detroit</t>
  </si>
  <si>
    <t>NV-Las Vegas</t>
  </si>
  <si>
    <t>CA-Los Angeles, San Francisco</t>
  </si>
  <si>
    <t>FL-Miami</t>
  </si>
  <si>
    <t>NY-New York</t>
  </si>
  <si>
    <t>PA-Pittsburgh</t>
  </si>
  <si>
    <t>WA-Seattle</t>
  </si>
  <si>
    <t>DC-Washington</t>
  </si>
  <si>
    <t>1.</t>
  </si>
  <si>
    <t xml:space="preserve">Austin, TX  </t>
  </si>
  <si>
    <t>2.</t>
  </si>
  <si>
    <t xml:space="preserve">Seattle, WA  </t>
  </si>
  <si>
    <t>3.</t>
  </si>
  <si>
    <t xml:space="preserve">Denver, CO  </t>
  </si>
  <si>
    <t>4.</t>
  </si>
  <si>
    <t xml:space="preserve">Boston, MA  </t>
  </si>
  <si>
    <t>5.</t>
  </si>
  <si>
    <t xml:space="preserve">San Francisco, CA  </t>
  </si>
  <si>
    <t>6.</t>
  </si>
  <si>
    <t xml:space="preserve">Chicago, IL  </t>
  </si>
  <si>
    <t>7.</t>
  </si>
  <si>
    <t xml:space="preserve">Washington, D.C.  </t>
  </si>
  <si>
    <t>8.</t>
  </si>
  <si>
    <t xml:space="preserve">Tampa, FL  </t>
  </si>
  <si>
    <t>9.</t>
  </si>
  <si>
    <t xml:space="preserve">Miami, FL  </t>
  </si>
  <si>
    <t>10.</t>
  </si>
  <si>
    <t xml:space="preserve">Los Angeles, CA  </t>
  </si>
  <si>
    <t>11.</t>
  </si>
  <si>
    <t xml:space="preserve">Dallas, TX  </t>
  </si>
  <si>
    <t>12.</t>
  </si>
  <si>
    <t xml:space="preserve">Las Vegas, NV  </t>
  </si>
  <si>
    <t>13.</t>
  </si>
  <si>
    <t xml:space="preserve">Pittsburgh, PA  </t>
  </si>
  <si>
    <t>14.</t>
  </si>
  <si>
    <t xml:space="preserve">Detroit, MI  </t>
  </si>
  <si>
    <t>15.</t>
  </si>
  <si>
    <t xml:space="preserve">New York, NY  </t>
  </si>
  <si>
    <t>Pollution Of USA.</t>
  </si>
  <si>
    <t xml:space="preserve">State </t>
  </si>
  <si>
    <t>City</t>
  </si>
  <si>
    <t>Good Air Quality</t>
  </si>
  <si>
    <t xml:space="preserve">Moderate Air Quality </t>
  </si>
  <si>
    <t>Unhealthy Air Qality</t>
  </si>
  <si>
    <t>Texas</t>
  </si>
  <si>
    <t>Massachusetts</t>
  </si>
  <si>
    <t>Illionis</t>
  </si>
  <si>
    <t>Colorado</t>
  </si>
  <si>
    <t>Michigan</t>
  </si>
  <si>
    <t>Nevada</t>
  </si>
  <si>
    <t xml:space="preserve">California </t>
  </si>
  <si>
    <t>Florida</t>
  </si>
  <si>
    <t xml:space="preserve">New York </t>
  </si>
  <si>
    <t>Pennsylvania</t>
  </si>
  <si>
    <t xml:space="preserve">District of Columbia </t>
  </si>
  <si>
    <t>Unemployment rates</t>
  </si>
  <si>
    <t>Avg weekly earnings in 2023</t>
  </si>
  <si>
    <t>Avg weekly earnings in 2024</t>
  </si>
  <si>
    <t>Percentage change (2023-24)</t>
  </si>
  <si>
    <t xml:space="preserve">datasources: </t>
  </si>
  <si>
    <t>https://www.bls.gov/charts/metro-area-employment-and-unemployment/metro-area-unemployment-rates-map.htm</t>
  </si>
  <si>
    <t>https://www.bls.gov/charts/metro-area-employment-and-unemployment/metro-area-oty-percent-change-in-average-weekly-earnings.htm</t>
  </si>
  <si>
    <t>avg number of days</t>
  </si>
  <si>
    <t>inches</t>
  </si>
  <si>
    <t>cm</t>
  </si>
  <si>
    <t>datasource :</t>
  </si>
  <si>
    <t>https://www.currentresults.com/Weather/US/annual-snowfall-by-city.php</t>
  </si>
  <si>
    <t>State</t>
  </si>
  <si>
    <t>Average Water Quality Violations (ppm)</t>
  </si>
  <si>
    <t>D.C.</t>
  </si>
  <si>
    <t>Illinois</t>
  </si>
  <si>
    <t>California</t>
  </si>
  <si>
    <t>Data Source:</t>
  </si>
  <si>
    <t>https://enviro.epa.gov/envirofacts/sdwis/search</t>
  </si>
  <si>
    <t>https://www.waterqualitydata.us/</t>
  </si>
  <si>
    <t>https://www.epa.gov/wqc</t>
  </si>
  <si>
    <t>Average Monthly Cost (USD)</t>
  </si>
  <si>
    <t>Cost of Living Index</t>
  </si>
  <si>
    <t>Rent Index</t>
  </si>
  <si>
    <t>Cost of Living Plus Rent Index</t>
  </si>
  <si>
    <t>Groceries Index</t>
  </si>
  <si>
    <t>Restaurant Price Index</t>
  </si>
  <si>
    <t>Local Purchasing Power Index</t>
  </si>
  <si>
    <t>Data Sources:</t>
  </si>
  <si>
    <t>https://www.numbeo.com/cost-of-living/region_rankings.jsp?region=019&amp;title=2024</t>
  </si>
  <si>
    <t>https://livingcost.org/cost/united-states?utm_source=chatgpt.com</t>
  </si>
  <si>
    <t>https://www.erieri.com/cost-of-living/united-states</t>
  </si>
  <si>
    <t>Snow (in inches)</t>
  </si>
  <si>
    <t>Good Air Quality (%)</t>
  </si>
  <si>
    <t xml:space="preserve"> </t>
  </si>
  <si>
    <t>Avg. Local Sales Tax (%)</t>
  </si>
  <si>
    <t>$2,473 </t>
  </si>
  <si>
    <t>$3,467 </t>
  </si>
  <si>
    <t>$2,667 </t>
  </si>
  <si>
    <t>$2,550 </t>
  </si>
  <si>
    <t>$2,699 </t>
  </si>
  <si>
    <t>$2,006 </t>
  </si>
  <si>
    <t>$2,246 </t>
  </si>
  <si>
    <t>$3,187 </t>
  </si>
  <si>
    <t>$3,103 </t>
  </si>
  <si>
    <t>$4,051 </t>
  </si>
  <si>
    <t>$2,223 </t>
  </si>
  <si>
    <t>$3,781 </t>
  </si>
  <si>
    <t>$2,908 </t>
  </si>
  <si>
    <t>$2,518 </t>
  </si>
  <si>
    <t>$3,139 </t>
  </si>
  <si>
    <t>2020</t>
  </si>
  <si>
    <t>2021</t>
  </si>
  <si>
    <t>2022</t>
  </si>
  <si>
    <t>2023</t>
  </si>
  <si>
    <t>District of Columbia</t>
  </si>
  <si>
    <t>Percentage Change in Population (2020-2023)</t>
  </si>
  <si>
    <t>Change in Population (2020-2023)</t>
  </si>
  <si>
    <t xml:space="preserve"> Average Population</t>
  </si>
  <si>
    <t>State Income Tax (%)</t>
  </si>
  <si>
    <t>Percentage change in Population(2023-24)</t>
  </si>
  <si>
    <t>Ranking</t>
  </si>
  <si>
    <t>Washington, D.C.</t>
  </si>
  <si>
    <t>Row Labels</t>
  </si>
  <si>
    <t>Sum of Ranking</t>
  </si>
  <si>
    <t>Grand Total</t>
  </si>
  <si>
    <t>Water and Snowfall</t>
  </si>
  <si>
    <t>Sum of Average Water Quality Violations (ppm)</t>
  </si>
  <si>
    <t>Avg Snowy Days</t>
  </si>
  <si>
    <t>Average Snowfall (in Inches)</t>
  </si>
  <si>
    <t>Weekly Average Earnings, Living Index, Monthly Cost, Local Tax</t>
  </si>
  <si>
    <t>2024</t>
  </si>
  <si>
    <t>Sum of Avg. Local Sales Tax (%)</t>
  </si>
  <si>
    <t>Sum of Average</t>
  </si>
  <si>
    <t>Average of Change in Population (2020-2023)</t>
  </si>
  <si>
    <t>Tax &amp; Weekly Earnings</t>
  </si>
  <si>
    <t>Population and Cost of Living</t>
  </si>
  <si>
    <t>Sum of  Average Population</t>
  </si>
  <si>
    <t>Team Members</t>
  </si>
  <si>
    <t>Major</t>
  </si>
  <si>
    <t>Email</t>
  </si>
  <si>
    <t>Linekdin</t>
  </si>
  <si>
    <t>Aman Bindal</t>
  </si>
  <si>
    <t>Engineering Management</t>
  </si>
  <si>
    <t>Bagdat Koilybayev</t>
  </si>
  <si>
    <t>Nikitha Kommepalli</t>
  </si>
  <si>
    <t>Bussiness Analytics</t>
  </si>
  <si>
    <t>Sarthak Raj</t>
  </si>
  <si>
    <t>Ranking of Cities</t>
  </si>
  <si>
    <t>Austin, TX</t>
  </si>
  <si>
    <t>Pros: Affordable living expenses, growing job market, vibrant culture.</t>
  </si>
  <si>
    <t>Cons: Increasing traffic and summer heat.</t>
  </si>
  <si>
    <t>Seattle, WA</t>
  </si>
  <si>
    <t>Pros: Strong economy, excellent healthcare, scenic beauty.</t>
  </si>
  <si>
    <t>Cons: High cost of living and rainy weather.</t>
  </si>
  <si>
    <t>Denver, CO</t>
  </si>
  <si>
    <t>Pros: Excellent outdoor recreation, strong economy, relatively low pollution.</t>
  </si>
  <si>
    <t>Cons: Rising housing costs.</t>
  </si>
  <si>
    <t>Boston, MA</t>
  </si>
  <si>
    <t>Pros: World-class healthcare and education, historic charm.</t>
  </si>
  <si>
    <t>Cons: High taxes and living costs.</t>
  </si>
  <si>
    <t>San Francisco, CA</t>
  </si>
  <si>
    <t>Pros: Diverse culture, tech job opportunities, scenic beauty.</t>
  </si>
  <si>
    <t>Cons: Extremely high cost of living and housing.</t>
  </si>
  <si>
    <t>Chicago, IL</t>
  </si>
  <si>
    <t>Pros: Affordable housing (compared to other major metros), cultural richness.</t>
  </si>
  <si>
    <t>Cons: Safety concerns in some areas and harsh winters.</t>
  </si>
  <si>
    <t>Pros: Strong job market, political and cultural hub.</t>
  </si>
  <si>
    <t>Cons: High living costs and traffic congestion.</t>
  </si>
  <si>
    <t>Tampa, FL</t>
  </si>
  <si>
    <t>Pros: Low taxes, affordable housing, pleasant weather.</t>
  </si>
  <si>
    <t>Cons: Vulnerability to hurricanes and limited public transportation.</t>
  </si>
  <si>
    <t>Miami, FL</t>
  </si>
  <si>
    <t>Pros: Thriving nightlife, diverse culture, no state income tax.</t>
  </si>
  <si>
    <t>Cons: High living costs and traffic.</t>
  </si>
  <si>
    <t>Los Angeles, CA</t>
  </si>
  <si>
    <t>Pros: Diverse job opportunities, great weather.</t>
  </si>
  <si>
    <t>Cons: High pollution, traffic, and living costs.</t>
  </si>
  <si>
    <t>Dallas, TX</t>
  </si>
  <si>
    <t>Pros: Low cost of living, no state income tax.</t>
  </si>
  <si>
    <t>Cons: Hot summers and urban sprawl.</t>
  </si>
  <si>
    <t>Las Vegas, NV</t>
  </si>
  <si>
    <t>Pros: Low taxes, affordable living, entertainment hub.</t>
  </si>
  <si>
    <t>Cons: Water shortages and extreme heat.</t>
  </si>
  <si>
    <t>Pittsburgh, PA</t>
  </si>
  <si>
    <t>Pros: Affordable housing, strong healthcare, and education.</t>
  </si>
  <si>
    <t>Cons: Limited public transportation and cold winters.</t>
  </si>
  <si>
    <t>Detroit, MI</t>
  </si>
  <si>
    <t>Pros: Affordable housing and a revitalizing economy.</t>
  </si>
  <si>
    <t>Cons: Safety concerns and a recovering infrastructure.</t>
  </si>
  <si>
    <t>New York, NY</t>
  </si>
  <si>
    <t>Pros: Endless job opportunities, cultural diversity.</t>
  </si>
  <si>
    <t>Cons: Very high living costs, population density, and pollution.</t>
  </si>
  <si>
    <t>Data Sources</t>
  </si>
  <si>
    <t>Type of Data</t>
  </si>
  <si>
    <t>Data Source Name</t>
  </si>
  <si>
    <t>URL</t>
  </si>
  <si>
    <t>Sales Tax</t>
  </si>
  <si>
    <t>Tax Foundation</t>
  </si>
  <si>
    <t>Cost of Living</t>
  </si>
  <si>
    <t>Economic Research Institute</t>
  </si>
  <si>
    <t>Weekly Income</t>
  </si>
  <si>
    <t>United States Bureau of Labor Statistics</t>
  </si>
  <si>
    <t>Population</t>
  </si>
  <si>
    <t>Census</t>
  </si>
  <si>
    <t>Air Quality</t>
  </si>
  <si>
    <t>USA Facts</t>
  </si>
  <si>
    <t>Water Quality</t>
  </si>
  <si>
    <t>National Water Quality Monitoring Council</t>
  </si>
  <si>
    <t>Snowfall Precipitation</t>
  </si>
  <si>
    <t>Current Results Weather</t>
  </si>
  <si>
    <t>Rankings</t>
  </si>
  <si>
    <t>Chat GPT AI</t>
  </si>
  <si>
    <t>Group 9 Team</t>
  </si>
  <si>
    <t>Board2</t>
  </si>
  <si>
    <t>2 Charts (Air and Water)</t>
  </si>
  <si>
    <t xml:space="preserve">      </t>
  </si>
  <si>
    <t>69</t>
  </si>
  <si>
    <t>\</t>
  </si>
  <si>
    <t xml:space="preserve"> Average Monthly Cost (USD)</t>
  </si>
  <si>
    <t xml:space="preserve"> Cost of Living Index</t>
  </si>
  <si>
    <t>Total Points</t>
  </si>
  <si>
    <r>
      <t>Length</t>
    </r>
    <r>
      <rPr>
        <sz val="11"/>
        <color theme="1"/>
        <rFont val="Calibri Light"/>
        <family val="2"/>
      </rPr>
      <t xml:space="preserve"> &lt;= 6 minutes</t>
    </r>
  </si>
  <si>
    <t>Good presentation of macro skills, use of conditional formatting.</t>
  </si>
  <si>
    <r>
      <t>Highlights</t>
    </r>
    <r>
      <rPr>
        <sz val="11"/>
        <color theme="1"/>
        <rFont val="Calibri Light"/>
        <family val="2"/>
      </rPr>
      <t xml:space="preserve"> of goals/assumptions, Excel skills used</t>
    </r>
  </si>
  <si>
    <r>
      <t xml:space="preserve">Logical </t>
    </r>
    <r>
      <rPr>
        <b/>
        <sz val="11"/>
        <color theme="1"/>
        <rFont val="Calibri Light"/>
        <family val="2"/>
      </rPr>
      <t>presentation</t>
    </r>
    <r>
      <rPr>
        <sz val="11"/>
        <color theme="1"/>
        <rFont val="Calibri Light"/>
        <family val="2"/>
      </rPr>
      <t xml:space="preserve"> of how to use dashboard. introduction, flow, timing, clarity</t>
    </r>
  </si>
  <si>
    <t>Presentation</t>
  </si>
  <si>
    <r>
      <rPr>
        <b/>
        <sz val="11"/>
        <color theme="1"/>
        <rFont val="Calibri"/>
        <family val="2"/>
        <scheme val="minor"/>
      </rPr>
      <t>Bibliography</t>
    </r>
    <r>
      <rPr>
        <sz val="11"/>
        <color theme="1"/>
        <rFont val="Calibri"/>
        <family val="2"/>
        <scheme val="minor"/>
      </rPr>
      <t xml:space="preserve"> in comments: List sources used to download data including the name of the website, URL and what typeof data you got from each website</t>
    </r>
  </si>
  <si>
    <r>
      <t xml:space="preserve">Conclusion: Does the dashboard lead to a conclusion for </t>
    </r>
    <r>
      <rPr>
        <sz val="11"/>
        <color theme="1"/>
        <rFont val="Calibri"/>
        <family val="2"/>
        <scheme val="minor"/>
      </rPr>
      <t>the best place  to live and why?</t>
    </r>
  </si>
  <si>
    <r>
      <t xml:space="preserve">Workbook Named </t>
    </r>
    <r>
      <rPr>
        <sz val="11"/>
        <color theme="1"/>
        <rFont val="Calibri Light"/>
        <family val="2"/>
      </rPr>
      <t>Group#/Name Dashboard (ie: Group4 Dashboard)</t>
    </r>
  </si>
  <si>
    <t>Other</t>
  </si>
  <si>
    <t>Wonderful job!  Great, creative use of macros.  Good work!</t>
  </si>
  <si>
    <r>
      <t xml:space="preserve">Macro: </t>
    </r>
    <r>
      <rPr>
        <sz val="11"/>
        <color theme="1"/>
        <rFont val="Calibri Light"/>
        <family val="2"/>
      </rPr>
      <t>Minimum 1.  Add to interactivity of dashboard?</t>
    </r>
  </si>
  <si>
    <r>
      <t xml:space="preserve">Charts: </t>
    </r>
    <r>
      <rPr>
        <sz val="11"/>
        <color theme="1"/>
        <rFont val="Calibri Light"/>
        <family val="2"/>
      </rPr>
      <t>Miminum 2.  Add value to analysis?</t>
    </r>
  </si>
  <si>
    <r>
      <t>Pivot table and Slicer</t>
    </r>
    <r>
      <rPr>
        <sz val="11"/>
        <color theme="1"/>
        <rFont val="Calibri Light"/>
        <family val="2"/>
      </rPr>
      <t>: Minimum of 1 each</t>
    </r>
  </si>
  <si>
    <r>
      <t>Datasets</t>
    </r>
    <r>
      <rPr>
        <sz val="11"/>
        <color theme="1"/>
        <rFont val="Calibri Light"/>
        <family val="2"/>
      </rPr>
      <t xml:space="preserve">: Minimum of 5, from at least 4 sources. Normalize data if needed (ie per capita if data skewed for large vs small city)? </t>
    </r>
  </si>
  <si>
    <t>Consistent formats, clear use of titles and colors.</t>
  </si>
  <si>
    <r>
      <t xml:space="preserve">Best choice for presenting data. </t>
    </r>
    <r>
      <rPr>
        <sz val="11"/>
        <color theme="1"/>
        <rFont val="Calibri Light"/>
        <family val="2"/>
      </rPr>
      <t>Does the formatting add to usability? Hidden worksheets if not part of user interface? Consistent color schema? Variety in presenting data?</t>
    </r>
    <r>
      <rPr>
        <b/>
        <sz val="11"/>
        <color theme="1"/>
        <rFont val="Calibri Light"/>
        <family val="2"/>
      </rPr>
      <t xml:space="preserve"> </t>
    </r>
    <r>
      <rPr>
        <sz val="11"/>
        <color theme="1"/>
        <rFont val="Calibri Light"/>
        <family val="2"/>
      </rPr>
      <t>Use chart best practices?</t>
    </r>
  </si>
  <si>
    <r>
      <t>Extensibility</t>
    </r>
    <r>
      <rPr>
        <sz val="11"/>
        <color theme="1"/>
        <rFont val="Calibri Light"/>
        <family val="2"/>
      </rPr>
      <t>: Can others use the dashboard to make their own conclusions?</t>
    </r>
  </si>
  <si>
    <r>
      <t>Interactivity and Ease of Use</t>
    </r>
    <r>
      <rPr>
        <sz val="11"/>
        <color theme="1"/>
        <rFont val="Calibri Light"/>
        <family val="2"/>
      </rPr>
      <t xml:space="preserve">: Directions within dashboard?  Interactive?  Valuable insights when use dashboard. </t>
    </r>
  </si>
  <si>
    <t>Dashboard</t>
  </si>
  <si>
    <t>Comments</t>
  </si>
  <si>
    <t>Points Earned</t>
  </si>
  <si>
    <t>Points Available</t>
  </si>
  <si>
    <t>Best Place to Live: Feedback</t>
  </si>
  <si>
    <t>The icons, color palette and flow of your dashboard are superb.  These elements in addition toyour  quality charts help guide the user through their decision-making process. Fabulous!</t>
  </si>
  <si>
    <t>Creative choices! Very thoughtful use of data.</t>
  </si>
  <si>
    <t>Great presentation! Clear flow, easy-going.  Creative use of macros and good explanations.</t>
  </si>
  <si>
    <t>Yes! Very clear. Great prompts particularly on the left-hand side. Loved the ranking!</t>
  </si>
  <si>
    <t>Group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</si>
</sst>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quot;$&quot;#,##0_);[Red]\(&quot;$&quot;#,##0\)"/>
    <numFmt numFmtId="43" formatCode="_(* #,##0.00_);_(* \(#,##0.00\);_(* &quot;-&quot;??_);_(@_)"/>
    <numFmt numFmtId="164" formatCode="&quot;$&quot;#,##0"/>
    <numFmt numFmtId="165" formatCode="&quot;$&quot;#,##0.00"/>
    <numFmt numFmtId="166" formatCode="General\%"/>
    <numFmt numFmtId="167" formatCode="_(* #,##0_);_(* \(#,##0\);_(* &quot;-&quot;??_);_(@_)"/>
    <numFmt numFmtId="168" formatCode="#,##0,&quot;K&quot;"/>
  </numFmts>
  <fonts count="41">
    <font>
      <sz val="11"/>
      <color theme="1"/>
      <name val="Calibri"/>
      <family val="2"/>
      <scheme val="minor"/>
    </font>
    <font>
      <sz val="18"/>
      <name val="Calibri"/>
      <family val="2"/>
      <scheme val="minor"/>
    </font>
    <font>
      <sz val="16"/>
      <color theme="1"/>
      <name val="Calibri"/>
      <family val="2"/>
      <scheme val="minor"/>
    </font>
    <font>
      <b/>
      <sz val="11"/>
      <color theme="1"/>
      <name val="Calibri"/>
      <family val="2"/>
      <scheme val="minor"/>
    </font>
    <font>
      <b/>
      <sz val="9.5"/>
      <color theme="0"/>
      <name val="Arial"/>
      <family val="2"/>
    </font>
    <font>
      <sz val="9.5"/>
      <color theme="1"/>
      <name val="Arial"/>
      <family val="2"/>
    </font>
    <font>
      <sz val="13"/>
      <color theme="1"/>
      <name val="Helvetica Neue"/>
      <family val="2"/>
    </font>
    <font>
      <b/>
      <sz val="13"/>
      <color theme="1"/>
      <name val="Helvetica Neue"/>
      <family val="2"/>
    </font>
    <font>
      <u/>
      <sz val="11"/>
      <color theme="10"/>
      <name val="Calibri"/>
      <family val="2"/>
      <scheme val="minor"/>
    </font>
    <font>
      <sz val="11"/>
      <color theme="0"/>
      <name val="Calibri"/>
      <family val="2"/>
      <scheme val="minor"/>
    </font>
    <font>
      <b/>
      <sz val="15"/>
      <color theme="3"/>
      <name val="Calibri"/>
      <family val="2"/>
      <scheme val="minor"/>
    </font>
    <font>
      <b/>
      <sz val="11"/>
      <color rgb="FF000000"/>
      <name val="Calibri"/>
      <family val="2"/>
    </font>
    <font>
      <b/>
      <sz val="11"/>
      <color theme="0"/>
      <name val="Calibri"/>
      <family val="2"/>
      <scheme val="minor"/>
    </font>
    <font>
      <sz val="11"/>
      <color rgb="FF000000"/>
      <name val="Calibri"/>
      <family val="2"/>
    </font>
    <font>
      <sz val="11"/>
      <color theme="4" tint="-0.249977111117893"/>
      <name val="Calibri"/>
      <family val="2"/>
      <scheme val="minor"/>
    </font>
    <font>
      <sz val="10"/>
      <color rgb="FF000000"/>
      <name val="Calibri"/>
      <family val="2"/>
    </font>
    <font>
      <sz val="8"/>
      <name val="Calibri"/>
      <family val="2"/>
      <scheme val="minor"/>
    </font>
    <font>
      <sz val="14"/>
      <color theme="1"/>
      <name val="Calibri"/>
      <family val="2"/>
      <scheme val="minor"/>
    </font>
    <font>
      <sz val="11"/>
      <color theme="1"/>
      <name val="Calibri"/>
      <family val="2"/>
      <scheme val="minor"/>
    </font>
    <font>
      <sz val="22"/>
      <color theme="4" tint="-0.249977111117893"/>
      <name val="Calibri"/>
      <family val="2"/>
      <scheme val="minor"/>
    </font>
    <font>
      <sz val="11"/>
      <color rgb="FF222222"/>
      <name val="Roboto"/>
    </font>
    <font>
      <u/>
      <sz val="14"/>
      <color theme="10"/>
      <name val="Calibri"/>
      <family val="2"/>
      <scheme val="minor"/>
    </font>
    <font>
      <b/>
      <sz val="16"/>
      <color theme="1"/>
      <name val="Calibri"/>
      <family val="2"/>
      <scheme val="minor"/>
    </font>
    <font>
      <sz val="20"/>
      <name val="Calibri"/>
      <family val="2"/>
      <scheme val="minor"/>
    </font>
    <font>
      <sz val="14"/>
      <name val="Calibri"/>
      <family val="2"/>
      <scheme val="minor"/>
    </font>
    <font>
      <b/>
      <sz val="24"/>
      <name val="Calibri"/>
      <family val="2"/>
      <scheme val="minor"/>
    </font>
    <font>
      <sz val="11"/>
      <color rgb="FFFF0000"/>
      <name val="Calibri"/>
      <family val="2"/>
      <scheme val="minor"/>
    </font>
    <font>
      <b/>
      <sz val="24"/>
      <color theme="3"/>
      <name val="Calibri"/>
      <family val="2"/>
      <scheme val="minor"/>
    </font>
    <font>
      <b/>
      <sz val="28"/>
      <color theme="4" tint="-0.499984740745262"/>
      <name val="Calibri"/>
      <family val="2"/>
      <scheme val="minor"/>
    </font>
    <font>
      <sz val="11"/>
      <name val="Calibri"/>
      <family val="2"/>
      <scheme val="minor"/>
    </font>
    <font>
      <sz val="11"/>
      <name val="Calibri"/>
      <family val="2"/>
    </font>
    <font>
      <b/>
      <sz val="20"/>
      <color theme="1"/>
      <name val="Helvetica Neue"/>
      <family val="2"/>
    </font>
    <font>
      <sz val="10"/>
      <color rgb="FF111111"/>
      <name val="Inherit"/>
    </font>
    <font>
      <sz val="11"/>
      <color theme="1"/>
      <name val="Calibri Light"/>
      <family val="2"/>
    </font>
    <font>
      <b/>
      <sz val="11"/>
      <color rgb="FF2E74B5"/>
      <name val="Calibri Light"/>
      <family val="2"/>
    </font>
    <font>
      <sz val="11"/>
      <color rgb="FF000000"/>
      <name val="Calibri Light"/>
      <family val="2"/>
    </font>
    <font>
      <b/>
      <sz val="11"/>
      <color theme="1"/>
      <name val="Calibri Light"/>
      <family val="2"/>
    </font>
    <font>
      <b/>
      <sz val="11"/>
      <color rgb="FF1F4D78"/>
      <name val="Calibri Light"/>
      <family val="2"/>
    </font>
    <font>
      <b/>
      <sz val="16"/>
      <color rgb="FF2E74B5"/>
      <name val="Calibri Light"/>
      <family val="2"/>
    </font>
    <font>
      <sz val="12"/>
      <color rgb="FF2E74B5"/>
      <name val="Calibri Light"/>
      <family val="2"/>
    </font>
    <font>
      <b/>
      <sz val="12"/>
      <color rgb="FFFF0000"/>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9"/>
        <bgColor theme="9"/>
      </patternFill>
    </fill>
    <fill>
      <patternFill patternType="solid">
        <fgColor rgb="FFFAFBFE"/>
        <bgColor indexed="64"/>
      </patternFill>
    </fill>
    <fill>
      <patternFill patternType="solid">
        <fgColor theme="4"/>
      </patternFill>
    </fill>
    <fill>
      <patternFill patternType="solid">
        <fgColor theme="5"/>
        <bgColor theme="5"/>
      </patternFill>
    </fill>
    <fill>
      <patternFill patternType="solid">
        <fgColor theme="5" tint="0.79998168889431442"/>
        <bgColor theme="5" tint="0.79998168889431442"/>
      </patternFill>
    </fill>
    <fill>
      <patternFill patternType="solid">
        <fgColor theme="4" tint="0.39997558519241921"/>
        <bgColor indexed="64"/>
      </patternFill>
    </fill>
    <fill>
      <patternFill patternType="solid">
        <fgColor rgb="FFED7D31"/>
        <bgColor rgb="FFED7D31"/>
      </patternFill>
    </fill>
    <fill>
      <patternFill patternType="solid">
        <fgColor rgb="FFFCE4D6"/>
        <bgColor rgb="FFFCE4D6"/>
      </patternFill>
    </fill>
    <fill>
      <patternFill patternType="solid">
        <fgColor rgb="FFFDE9D9"/>
        <bgColor rgb="FFFDE9D9"/>
      </patternFill>
    </fill>
    <fill>
      <patternFill patternType="solid">
        <fgColor theme="8" tint="0.79998168889431442"/>
        <bgColor indexed="65"/>
      </patternFill>
    </fill>
    <fill>
      <patternFill patternType="solid">
        <fgColor theme="8" tint="0.39997558519241921"/>
        <bgColor indexed="65"/>
      </patternFill>
    </fill>
    <fill>
      <patternFill patternType="solid">
        <fgColor theme="8" tint="0.39997558519241921"/>
        <bgColor indexed="64"/>
      </patternFill>
    </fill>
    <fill>
      <patternFill patternType="solid">
        <fgColor theme="1" tint="0.499984740745262"/>
        <bgColor indexed="64"/>
      </patternFill>
    </fill>
    <fill>
      <patternFill patternType="solid">
        <fgColor theme="4" tint="0.59999389629810485"/>
        <bgColor indexed="64"/>
      </patternFill>
    </fill>
    <fill>
      <patternFill patternType="solid">
        <fgColor rgb="FFDDEBF7"/>
        <bgColor rgb="FF000000"/>
      </patternFill>
    </fill>
    <fill>
      <patternFill patternType="solid">
        <fgColor rgb="FFA5A5A5"/>
      </patternFill>
    </fill>
    <fill>
      <patternFill patternType="solid">
        <fgColor theme="4" tint="0.79998168889431442"/>
        <bgColor indexed="64"/>
      </patternFill>
    </fill>
  </fills>
  <borders count="61">
    <border>
      <left/>
      <right/>
      <top/>
      <bottom/>
      <diagonal/>
    </border>
    <border>
      <left/>
      <right style="thin">
        <color theme="0"/>
      </right>
      <top/>
      <bottom style="thick">
        <color theme="0"/>
      </bottom>
      <diagonal/>
    </border>
    <border>
      <left style="thin">
        <color theme="9" tint="0.39997558519241921"/>
      </left>
      <right/>
      <top/>
      <bottom/>
      <diagonal/>
    </border>
    <border>
      <left style="thin">
        <color theme="0"/>
      </left>
      <right/>
      <top/>
      <bottom/>
      <diagonal/>
    </border>
    <border>
      <left/>
      <right style="thin">
        <color theme="0"/>
      </right>
      <top style="thin">
        <color theme="9" tint="0.39997558519241921"/>
      </top>
      <bottom style="thin">
        <color theme="0"/>
      </bottom>
      <diagonal/>
    </border>
    <border>
      <left style="thin">
        <color theme="9" tint="0.39997558519241921"/>
      </left>
      <right/>
      <top style="thin">
        <color theme="9" tint="0.39997558519241921"/>
      </top>
      <bottom/>
      <diagonal/>
    </border>
    <border>
      <left style="thin">
        <color theme="0"/>
      </left>
      <right/>
      <top style="thin">
        <color theme="9" tint="0.39997558519241921"/>
      </top>
      <bottom/>
      <diagonal/>
    </border>
    <border>
      <left/>
      <right style="thin">
        <color theme="0"/>
      </right>
      <top style="thin">
        <color theme="9" tint="0.39997558519241921"/>
      </top>
      <bottom/>
      <diagonal/>
    </border>
    <border>
      <left style="thin">
        <color theme="9" tint="0.39997558519241921"/>
      </left>
      <right/>
      <top style="thin">
        <color theme="9" tint="0.39997558519241921"/>
      </top>
      <bottom style="thin">
        <color theme="9" tint="0.39997558519241921"/>
      </bottom>
      <diagonal/>
    </border>
    <border>
      <left style="thin">
        <color theme="0"/>
      </left>
      <right style="thin">
        <color theme="9" tint="0.39997558519241921"/>
      </right>
      <top style="thin">
        <color theme="9" tint="0.39997558519241921"/>
      </top>
      <bottom style="thin">
        <color theme="9" tint="0.39997558519241921"/>
      </bottom>
      <diagonal/>
    </border>
    <border>
      <left style="thin">
        <color theme="0"/>
      </left>
      <right/>
      <top style="thick">
        <color theme="0"/>
      </top>
      <bottom/>
      <diagonal/>
    </border>
    <border>
      <left style="thin">
        <color theme="9" tint="0.39997558519241921"/>
      </left>
      <right style="thin">
        <color theme="9" tint="0.39997558519241921"/>
      </right>
      <top style="thin">
        <color theme="9" tint="0.39997558519241921"/>
      </top>
      <bottom/>
      <diagonal/>
    </border>
    <border>
      <left style="thin">
        <color theme="0"/>
      </left>
      <right style="thin">
        <color theme="9" tint="0.39997558519241921"/>
      </right>
      <top style="thin">
        <color theme="9" tint="0.39997558519241921"/>
      </top>
      <bottom/>
      <diagonal/>
    </border>
    <border>
      <left style="thin">
        <color theme="0"/>
      </left>
      <right/>
      <top style="thin">
        <color theme="9" tint="0.39997558519241921"/>
      </top>
      <bottom style="thin">
        <color theme="9" tint="0.39997558519241921"/>
      </bottom>
      <diagonal/>
    </border>
    <border>
      <left/>
      <right/>
      <top/>
      <bottom style="thick">
        <color theme="4"/>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9" tint="0.39997558519241921"/>
      </left>
      <right style="thin">
        <color theme="9"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style="thin">
        <color theme="4" tint="0.39997558519241921"/>
      </right>
      <top style="thin">
        <color theme="5" tint="0.39997558519241921"/>
      </top>
      <bottom style="thin">
        <color theme="5" tint="0.39997558519241921"/>
      </bottom>
      <diagonal/>
    </border>
    <border>
      <left style="thin">
        <color rgb="FFFABF8F"/>
      </left>
      <right/>
      <top style="thin">
        <color rgb="FFFABF8F"/>
      </top>
      <bottom style="thin">
        <color rgb="FFFABF8F"/>
      </bottom>
      <diagonal/>
    </border>
    <border>
      <left/>
      <right/>
      <top style="thin">
        <color rgb="FFFABF8F"/>
      </top>
      <bottom style="thin">
        <color rgb="FFFABF8F"/>
      </bottom>
      <diagonal/>
    </border>
    <border>
      <left/>
      <right style="thin">
        <color rgb="FFFABF8F"/>
      </right>
      <top style="thin">
        <color rgb="FFFABF8F"/>
      </top>
      <bottom style="thin">
        <color rgb="FFFABF8F"/>
      </bottom>
      <diagonal/>
    </border>
    <border>
      <left/>
      <right style="thin">
        <color rgb="FFFABF8F"/>
      </right>
      <top/>
      <bottom style="thin">
        <color rgb="FFFABF8F"/>
      </bottom>
      <diagonal/>
    </border>
    <border>
      <left/>
      <right style="thin">
        <color rgb="FFFABF8F"/>
      </right>
      <top style="thin">
        <color theme="5" tint="0.39997558519241921"/>
      </top>
      <bottom style="thin">
        <color rgb="FFFABF8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F7CAAC"/>
      </right>
      <top/>
      <bottom style="medium">
        <color indexed="64"/>
      </bottom>
      <diagonal/>
    </border>
    <border>
      <left style="medium">
        <color indexed="64"/>
      </left>
      <right style="medium">
        <color rgb="FFF7CAAC"/>
      </right>
      <top/>
      <bottom style="medium">
        <color indexed="64"/>
      </bottom>
      <diagonal/>
    </border>
    <border>
      <left/>
      <right style="medium">
        <color indexed="64"/>
      </right>
      <top/>
      <bottom style="medium">
        <color rgb="FFF7CAAC"/>
      </bottom>
      <diagonal/>
    </border>
    <border>
      <left/>
      <right style="medium">
        <color rgb="FFF7CAAC"/>
      </right>
      <top/>
      <bottom style="medium">
        <color rgb="FFF7CAAC"/>
      </bottom>
      <diagonal/>
    </border>
    <border>
      <left style="medium">
        <color indexed="64"/>
      </left>
      <right style="medium">
        <color rgb="FFF7CAAC"/>
      </right>
      <top/>
      <bottom style="medium">
        <color rgb="FFF7CAAC"/>
      </bottom>
      <diagonal/>
    </border>
    <border>
      <left style="medium">
        <color rgb="FFF7CAAC"/>
      </left>
      <right style="medium">
        <color indexed="64"/>
      </right>
      <top style="medium">
        <color rgb="FFF7CAAC"/>
      </top>
      <bottom style="medium">
        <color rgb="FFF7CAAC"/>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F7CAAC"/>
      </right>
      <top/>
      <bottom/>
      <diagonal/>
    </border>
    <border>
      <left style="medium">
        <color indexed="64"/>
      </left>
      <right style="medium">
        <color rgb="FFF7CAAC"/>
      </right>
      <top/>
      <bottom/>
      <diagonal/>
    </border>
    <border>
      <left style="medium">
        <color rgb="FFF7CAAC"/>
      </left>
      <right style="medium">
        <color indexed="64"/>
      </right>
      <top/>
      <bottom style="medium">
        <color rgb="FFF7CAAC"/>
      </bottom>
      <diagonal/>
    </border>
    <border>
      <left style="medium">
        <color rgb="FFF7CAAC"/>
      </left>
      <right style="medium">
        <color indexed="64"/>
      </right>
      <top style="medium">
        <color indexed="64"/>
      </top>
      <bottom style="medium">
        <color rgb="FFF7CAAC"/>
      </bottom>
      <diagonal/>
    </border>
    <border>
      <left/>
      <right style="medium">
        <color rgb="FFF7CAAC"/>
      </right>
      <top style="medium">
        <color indexed="64"/>
      </top>
      <bottom style="medium">
        <color rgb="FFF7CAAC"/>
      </bottom>
      <diagonal/>
    </border>
    <border>
      <left style="medium">
        <color rgb="FFF7CAAC"/>
      </left>
      <right style="medium">
        <color indexed="64"/>
      </right>
      <top/>
      <bottom/>
      <diagonal/>
    </border>
    <border>
      <left style="medium">
        <color indexed="64"/>
      </left>
      <right style="medium">
        <color rgb="FFF7CAAC"/>
      </right>
      <top style="medium">
        <color indexed="64"/>
      </top>
      <bottom style="medium">
        <color rgb="FFF7CAAC"/>
      </bottom>
      <diagonal/>
    </border>
    <border>
      <left style="medium">
        <color rgb="FFF7CAAC"/>
      </left>
      <right style="medium">
        <color rgb="FFF7CAAC"/>
      </right>
      <top style="medium">
        <color indexed="64"/>
      </top>
      <bottom style="medium">
        <color indexed="64"/>
      </bottom>
      <diagonal/>
    </border>
    <border>
      <left/>
      <right style="medium">
        <color rgb="FFF7CAAC"/>
      </right>
      <top style="medium">
        <color indexed="64"/>
      </top>
      <bottom style="medium">
        <color indexed="64"/>
      </bottom>
      <diagonal/>
    </border>
    <border>
      <left style="medium">
        <color indexed="64"/>
      </left>
      <right style="medium">
        <color rgb="FFF7CAAC"/>
      </right>
      <top style="medium">
        <color indexed="64"/>
      </top>
      <bottom style="medium">
        <color indexed="64"/>
      </bottom>
      <diagonal/>
    </border>
  </borders>
  <cellStyleXfs count="9">
    <xf numFmtId="0" fontId="0" fillId="0" borderId="0"/>
    <xf numFmtId="0" fontId="8" fillId="0" borderId="0" applyNumberFormat="0" applyFill="0" applyBorder="0" applyAlignment="0" applyProtection="0"/>
    <xf numFmtId="0" fontId="9" fillId="5" borderId="0" applyNumberFormat="0" applyBorder="0" applyAlignment="0" applyProtection="0"/>
    <xf numFmtId="0" fontId="10" fillId="0" borderId="14" applyNumberFormat="0" applyFill="0" applyAlignment="0" applyProtection="0"/>
    <xf numFmtId="0" fontId="18" fillId="12" borderId="0" applyNumberFormat="0" applyBorder="0" applyAlignment="0" applyProtection="0"/>
    <xf numFmtId="0" fontId="18" fillId="13" borderId="0" applyNumberFormat="0" applyBorder="0" applyAlignment="0" applyProtection="0"/>
    <xf numFmtId="43" fontId="18" fillId="0" borderId="0" applyFont="0" applyFill="0" applyBorder="0" applyAlignment="0" applyProtection="0"/>
    <xf numFmtId="0" fontId="12" fillId="18" borderId="27" applyNumberFormat="0" applyAlignment="0" applyProtection="0"/>
    <xf numFmtId="9" fontId="18" fillId="0" borderId="0" applyFont="0" applyFill="0" applyBorder="0" applyAlignment="0" applyProtection="0"/>
  </cellStyleXfs>
  <cellXfs count="202">
    <xf numFmtId="0" fontId="0" fillId="0" borderId="0" xfId="0"/>
    <xf numFmtId="0" fontId="1" fillId="0" borderId="0" xfId="0" applyFont="1"/>
    <xf numFmtId="0" fontId="2" fillId="0" borderId="0" xfId="0" applyFont="1"/>
    <xf numFmtId="0" fontId="2" fillId="2" borderId="0" xfId="0" applyFont="1" applyFill="1"/>
    <xf numFmtId="0" fontId="1" fillId="2" borderId="0" xfId="0" applyFont="1" applyFill="1"/>
    <xf numFmtId="0" fontId="3" fillId="0" borderId="0" xfId="0" applyFont="1"/>
    <xf numFmtId="0" fontId="4" fillId="3" borderId="1" xfId="0" applyFont="1" applyFill="1" applyBorder="1"/>
    <xf numFmtId="0" fontId="4" fillId="3" borderId="2" xfId="0" applyFont="1" applyFill="1" applyBorder="1"/>
    <xf numFmtId="0" fontId="4" fillId="3" borderId="3" xfId="0" applyFont="1" applyFill="1" applyBorder="1"/>
    <xf numFmtId="0" fontId="5" fillId="4" borderId="4" xfId="0" applyFont="1" applyFill="1" applyBorder="1" applyAlignment="1">
      <alignment horizontal="left"/>
    </xf>
    <xf numFmtId="164" fontId="5" fillId="4" borderId="5" xfId="0" applyNumberFormat="1" applyFont="1" applyFill="1" applyBorder="1" applyAlignment="1">
      <alignment horizontal="left"/>
    </xf>
    <xf numFmtId="164" fontId="5" fillId="4" borderId="6" xfId="0" applyNumberFormat="1" applyFont="1" applyFill="1" applyBorder="1" applyAlignment="1">
      <alignment horizontal="left"/>
    </xf>
    <xf numFmtId="0" fontId="5" fillId="4" borderId="7" xfId="0" applyFont="1" applyFill="1" applyBorder="1" applyAlignment="1">
      <alignment horizontal="left"/>
    </xf>
    <xf numFmtId="0" fontId="7" fillId="0" borderId="0" xfId="0" applyFont="1"/>
    <xf numFmtId="0" fontId="6" fillId="0" borderId="0" xfId="0" applyFont="1"/>
    <xf numFmtId="0" fontId="8" fillId="0" borderId="0" xfId="1"/>
    <xf numFmtId="165" fontId="2" fillId="0" borderId="0" xfId="0" applyNumberFormat="1" applyFont="1"/>
    <xf numFmtId="0" fontId="9" fillId="5" borderId="0" xfId="2"/>
    <xf numFmtId="0" fontId="4" fillId="3" borderId="6" xfId="0" applyFont="1" applyFill="1" applyBorder="1"/>
    <xf numFmtId="0" fontId="4" fillId="3" borderId="5" xfId="0" applyFont="1" applyFill="1" applyBorder="1"/>
    <xf numFmtId="0" fontId="4" fillId="3" borderId="11" xfId="0" applyFont="1" applyFill="1" applyBorder="1"/>
    <xf numFmtId="0" fontId="5" fillId="4" borderId="10" xfId="0" applyFont="1" applyFill="1" applyBorder="1" applyAlignment="1">
      <alignment horizontal="left"/>
    </xf>
    <xf numFmtId="164" fontId="5" fillId="4" borderId="11" xfId="0" applyNumberFormat="1" applyFont="1" applyFill="1" applyBorder="1" applyAlignment="1">
      <alignment horizontal="left"/>
    </xf>
    <xf numFmtId="0" fontId="5" fillId="4" borderId="6" xfId="0" applyFont="1" applyFill="1" applyBorder="1" applyAlignment="1">
      <alignment horizontal="left"/>
    </xf>
    <xf numFmtId="164" fontId="5" fillId="4" borderId="12" xfId="0" applyNumberFormat="1" applyFont="1" applyFill="1" applyBorder="1" applyAlignment="1">
      <alignment horizontal="left"/>
    </xf>
    <xf numFmtId="0" fontId="5" fillId="4" borderId="13" xfId="0" applyFont="1" applyFill="1" applyBorder="1" applyAlignment="1">
      <alignment horizontal="left"/>
    </xf>
    <xf numFmtId="164" fontId="5" fillId="4" borderId="8" xfId="0" applyNumberFormat="1" applyFont="1" applyFill="1" applyBorder="1" applyAlignment="1">
      <alignment horizontal="left"/>
    </xf>
    <xf numFmtId="164" fontId="5" fillId="4" borderId="13" xfId="0" applyNumberFormat="1" applyFont="1" applyFill="1" applyBorder="1" applyAlignment="1">
      <alignment horizontal="left"/>
    </xf>
    <xf numFmtId="164" fontId="5" fillId="4" borderId="9" xfId="0" applyNumberFormat="1" applyFont="1" applyFill="1" applyBorder="1" applyAlignment="1">
      <alignment horizontal="left"/>
    </xf>
    <xf numFmtId="164" fontId="3" fillId="0" borderId="0" xfId="0" applyNumberFormat="1" applyFont="1" applyAlignment="1">
      <alignment horizontal="left"/>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3" fontId="0" fillId="0" borderId="0" xfId="0" applyNumberFormat="1" applyAlignment="1">
      <alignment horizontal="center" vertical="center" wrapText="1"/>
    </xf>
    <xf numFmtId="0" fontId="3" fillId="0" borderId="0" xfId="0" applyFont="1" applyAlignment="1">
      <alignment horizontal="center" vertical="center"/>
    </xf>
    <xf numFmtId="0" fontId="3" fillId="0" borderId="0" xfId="0" applyFont="1" applyAlignment="1">
      <alignment horizontal="center" vertical="center" wrapText="1"/>
    </xf>
    <xf numFmtId="0" fontId="10" fillId="0" borderId="14" xfId="3" applyFill="1"/>
    <xf numFmtId="0" fontId="11" fillId="0" borderId="0" xfId="0" applyFont="1"/>
    <xf numFmtId="0" fontId="0" fillId="0" borderId="0" xfId="0" applyAlignment="1">
      <alignment horizontal="left"/>
    </xf>
    <xf numFmtId="0" fontId="12" fillId="6" borderId="15" xfId="0" applyFont="1" applyFill="1" applyBorder="1"/>
    <xf numFmtId="0" fontId="12" fillId="6" borderId="16" xfId="0" applyFont="1" applyFill="1" applyBorder="1"/>
    <xf numFmtId="0" fontId="4" fillId="3" borderId="17" xfId="0" applyFont="1" applyFill="1" applyBorder="1"/>
    <xf numFmtId="0" fontId="13" fillId="0" borderId="15" xfId="0" applyFont="1" applyBorder="1"/>
    <xf numFmtId="0" fontId="13" fillId="7" borderId="15" xfId="0" applyFont="1" applyFill="1" applyBorder="1"/>
    <xf numFmtId="0" fontId="4" fillId="3" borderId="0" xfId="0" applyFont="1" applyFill="1"/>
    <xf numFmtId="0" fontId="0" fillId="8" borderId="0" xfId="0" applyFill="1"/>
    <xf numFmtId="0" fontId="14" fillId="7" borderId="15" xfId="0" applyFont="1" applyFill="1" applyBorder="1"/>
    <xf numFmtId="0" fontId="14" fillId="0" borderId="15" xfId="0" applyFont="1" applyBorder="1"/>
    <xf numFmtId="0" fontId="12" fillId="6" borderId="19" xfId="0" applyFont="1" applyFill="1" applyBorder="1"/>
    <xf numFmtId="0" fontId="14" fillId="7" borderId="19" xfId="0" applyFont="1" applyFill="1" applyBorder="1"/>
    <xf numFmtId="0" fontId="14" fillId="0" borderId="19" xfId="0" applyFont="1" applyBorder="1"/>
    <xf numFmtId="0" fontId="13" fillId="0" borderId="19" xfId="0" applyFont="1" applyBorder="1"/>
    <xf numFmtId="0" fontId="13" fillId="7" borderId="19" xfId="0" applyFont="1" applyFill="1" applyBorder="1"/>
    <xf numFmtId="0" fontId="11" fillId="9" borderId="20" xfId="0" applyFont="1" applyFill="1" applyBorder="1"/>
    <xf numFmtId="0" fontId="11" fillId="9" borderId="21" xfId="0" applyFont="1" applyFill="1" applyBorder="1"/>
    <xf numFmtId="0" fontId="11" fillId="9" borderId="22" xfId="0" applyFont="1" applyFill="1" applyBorder="1"/>
    <xf numFmtId="0" fontId="13" fillId="9" borderId="0" xfId="0" applyFont="1" applyFill="1"/>
    <xf numFmtId="0" fontId="15" fillId="10" borderId="20" xfId="0" applyFont="1" applyFill="1" applyBorder="1"/>
    <xf numFmtId="3" fontId="15" fillId="10" borderId="21" xfId="0" applyNumberFormat="1" applyFont="1" applyFill="1" applyBorder="1"/>
    <xf numFmtId="3" fontId="15" fillId="10" borderId="22" xfId="0" applyNumberFormat="1" applyFont="1" applyFill="1" applyBorder="1"/>
    <xf numFmtId="10" fontId="13" fillId="11" borderId="22" xfId="0" applyNumberFormat="1" applyFont="1" applyFill="1" applyBorder="1"/>
    <xf numFmtId="0" fontId="15" fillId="0" borderId="20" xfId="0" applyFont="1" applyBorder="1"/>
    <xf numFmtId="3" fontId="15" fillId="0" borderId="21" xfId="0" applyNumberFormat="1" applyFont="1" applyBorder="1"/>
    <xf numFmtId="3" fontId="15" fillId="0" borderId="22" xfId="0" applyNumberFormat="1" applyFont="1" applyBorder="1"/>
    <xf numFmtId="10" fontId="13" fillId="0" borderId="23" xfId="0" applyNumberFormat="1" applyFont="1" applyBorder="1"/>
    <xf numFmtId="10" fontId="13" fillId="11" borderId="23" xfId="0" applyNumberFormat="1" applyFont="1" applyFill="1" applyBorder="1"/>
    <xf numFmtId="0" fontId="11" fillId="9" borderId="18" xfId="0" applyFont="1" applyFill="1" applyBorder="1"/>
    <xf numFmtId="10" fontId="13" fillId="0" borderId="24" xfId="0" applyNumberFormat="1" applyFont="1" applyBorder="1"/>
    <xf numFmtId="10" fontId="13" fillId="11" borderId="24" xfId="0" applyNumberFormat="1" applyFont="1" applyFill="1" applyBorder="1"/>
    <xf numFmtId="0" fontId="0" fillId="0" borderId="0" xfId="0" pivotButton="1" applyAlignment="1">
      <alignment horizontal="center" vertical="center" wrapText="1"/>
    </xf>
    <xf numFmtId="6" fontId="14" fillId="7" borderId="15" xfId="0" applyNumberFormat="1" applyFont="1" applyFill="1" applyBorder="1" applyAlignment="1">
      <alignment horizontal="right"/>
    </xf>
    <xf numFmtId="6" fontId="14" fillId="0" borderId="15" xfId="0" applyNumberFormat="1" applyFont="1" applyBorder="1" applyAlignment="1">
      <alignment horizontal="right"/>
    </xf>
    <xf numFmtId="6" fontId="13" fillId="0" borderId="15" xfId="0" applyNumberFormat="1" applyFont="1" applyBorder="1" applyAlignment="1">
      <alignment horizontal="right"/>
    </xf>
    <xf numFmtId="6" fontId="13" fillId="7" borderId="15" xfId="0" applyNumberFormat="1" applyFont="1" applyFill="1" applyBorder="1" applyAlignment="1">
      <alignment horizontal="right"/>
    </xf>
    <xf numFmtId="166" fontId="0" fillId="0" borderId="0" xfId="0" applyNumberFormat="1" applyAlignment="1">
      <alignment horizontal="center" vertical="center"/>
    </xf>
    <xf numFmtId="0" fontId="0" fillId="0" borderId="0" xfId="0" pivotButton="1"/>
    <xf numFmtId="0" fontId="17" fillId="0" borderId="0" xfId="0" applyFont="1"/>
    <xf numFmtId="165" fontId="0" fillId="0" borderId="0" xfId="0" applyNumberFormat="1" applyAlignment="1">
      <alignment horizontal="center" vertical="center"/>
    </xf>
    <xf numFmtId="10" fontId="0" fillId="0" borderId="0" xfId="0" applyNumberFormat="1" applyAlignment="1">
      <alignment horizontal="center" vertical="center"/>
    </xf>
    <xf numFmtId="2" fontId="0" fillId="0" borderId="0" xfId="0" applyNumberFormat="1" applyAlignment="1">
      <alignment horizontal="left"/>
    </xf>
    <xf numFmtId="0" fontId="19" fillId="14" borderId="25" xfId="4" applyFont="1" applyFill="1" applyBorder="1"/>
    <xf numFmtId="0" fontId="19" fillId="14" borderId="26" xfId="4" applyFont="1" applyFill="1" applyBorder="1"/>
    <xf numFmtId="0" fontId="20" fillId="0" borderId="0" xfId="0" applyFont="1"/>
    <xf numFmtId="0" fontId="21" fillId="12" borderId="25" xfId="1" applyFont="1" applyFill="1" applyBorder="1"/>
    <xf numFmtId="0" fontId="21" fillId="14" borderId="26" xfId="1" applyFont="1" applyFill="1" applyBorder="1"/>
    <xf numFmtId="166" fontId="0" fillId="0" borderId="0" xfId="0" applyNumberFormat="1"/>
    <xf numFmtId="165" fontId="0" fillId="0" borderId="0" xfId="0" applyNumberFormat="1"/>
    <xf numFmtId="167" fontId="15" fillId="10" borderId="20" xfId="6" applyNumberFormat="1" applyFont="1" applyFill="1" applyBorder="1"/>
    <xf numFmtId="167" fontId="15" fillId="0" borderId="20" xfId="6" applyNumberFormat="1" applyFont="1" applyBorder="1"/>
    <xf numFmtId="10" fontId="13" fillId="0" borderId="22" xfId="0" applyNumberFormat="1" applyFont="1" applyBorder="1"/>
    <xf numFmtId="167" fontId="18" fillId="0" borderId="0" xfId="6" applyNumberFormat="1" applyFont="1" applyAlignment="1">
      <alignment horizontal="center"/>
    </xf>
    <xf numFmtId="166" fontId="0" fillId="0" borderId="0" xfId="0" applyNumberFormat="1" applyAlignment="1">
      <alignment horizontal="center"/>
    </xf>
    <xf numFmtId="168" fontId="0" fillId="0" borderId="0" xfId="0" applyNumberFormat="1"/>
    <xf numFmtId="164" fontId="0" fillId="0" borderId="0" xfId="0" applyNumberFormat="1" applyAlignment="1">
      <alignment horizontal="center" vertical="center"/>
    </xf>
    <xf numFmtId="164" fontId="0" fillId="0" borderId="0" xfId="0" applyNumberFormat="1"/>
    <xf numFmtId="0" fontId="8" fillId="12" borderId="25" xfId="1" applyFill="1" applyBorder="1"/>
    <xf numFmtId="0" fontId="8" fillId="17" borderId="25" xfId="1" applyFill="1" applyBorder="1"/>
    <xf numFmtId="0" fontId="8" fillId="14" borderId="25" xfId="1" applyFill="1" applyBorder="1"/>
    <xf numFmtId="0" fontId="0" fillId="15" borderId="0" xfId="0" applyFill="1" applyAlignment="1">
      <alignment vertical="center"/>
    </xf>
    <xf numFmtId="0" fontId="23" fillId="12" borderId="25" xfId="4" applyFont="1" applyBorder="1"/>
    <xf numFmtId="0" fontId="23" fillId="14" borderId="25" xfId="4" applyFont="1" applyFill="1" applyBorder="1"/>
    <xf numFmtId="0" fontId="23" fillId="14" borderId="26" xfId="4" applyFont="1" applyFill="1" applyBorder="1"/>
    <xf numFmtId="0" fontId="26" fillId="2" borderId="0" xfId="0" applyFont="1" applyFill="1"/>
    <xf numFmtId="3" fontId="0" fillId="0" borderId="0" xfId="0" applyNumberFormat="1"/>
    <xf numFmtId="0" fontId="0" fillId="0" borderId="0" xfId="0" pivotButton="1" applyAlignment="1">
      <alignment horizontal="center" vertical="center"/>
    </xf>
    <xf numFmtId="0" fontId="0" fillId="7" borderId="15" xfId="0" applyFill="1" applyBorder="1"/>
    <xf numFmtId="0" fontId="0" fillId="0" borderId="15" xfId="0" applyBorder="1"/>
    <xf numFmtId="0" fontId="12" fillId="6" borderId="18" xfId="0" applyFont="1" applyFill="1" applyBorder="1"/>
    <xf numFmtId="0" fontId="0" fillId="7" borderId="18" xfId="0" applyFill="1" applyBorder="1"/>
    <xf numFmtId="0" fontId="0" fillId="0" borderId="18" xfId="0" applyBorder="1"/>
    <xf numFmtId="0" fontId="29" fillId="7" borderId="16" xfId="0" applyFont="1" applyFill="1" applyBorder="1"/>
    <xf numFmtId="0" fontId="29" fillId="7" borderId="15" xfId="0" applyFont="1" applyFill="1" applyBorder="1"/>
    <xf numFmtId="3" fontId="29" fillId="0" borderId="0" xfId="0" applyNumberFormat="1" applyFont="1" applyAlignment="1">
      <alignment horizontal="center" vertical="center" wrapText="1"/>
    </xf>
    <xf numFmtId="0" fontId="29" fillId="0" borderId="0" xfId="0" applyFont="1"/>
    <xf numFmtId="0" fontId="29" fillId="0" borderId="16" xfId="0" applyFont="1" applyBorder="1"/>
    <xf numFmtId="0" fontId="29" fillId="0" borderId="15" xfId="0" applyFont="1" applyBorder="1"/>
    <xf numFmtId="0" fontId="29" fillId="0" borderId="0" xfId="0" applyFont="1" applyAlignment="1">
      <alignment horizontal="center" vertical="center" wrapText="1"/>
    </xf>
    <xf numFmtId="0" fontId="30" fillId="0" borderId="15" xfId="0" applyFont="1" applyBorder="1"/>
    <xf numFmtId="0" fontId="30" fillId="7" borderId="15" xfId="0" applyFont="1" applyFill="1" applyBorder="1"/>
    <xf numFmtId="165" fontId="29" fillId="7" borderId="15" xfId="0" applyNumberFormat="1" applyFont="1" applyFill="1" applyBorder="1"/>
    <xf numFmtId="0" fontId="29" fillId="7" borderId="15" xfId="0" applyFont="1" applyFill="1" applyBorder="1" applyAlignment="1">
      <alignment horizontal="right"/>
    </xf>
    <xf numFmtId="165" fontId="29" fillId="0" borderId="15" xfId="0" applyNumberFormat="1" applyFont="1" applyBorder="1"/>
    <xf numFmtId="0" fontId="29" fillId="0" borderId="15" xfId="0" applyFont="1" applyBorder="1" applyAlignment="1">
      <alignment horizontal="right"/>
    </xf>
    <xf numFmtId="165" fontId="30" fillId="0" borderId="15" xfId="0" applyNumberFormat="1" applyFont="1" applyBorder="1"/>
    <xf numFmtId="0" fontId="30" fillId="0" borderId="15" xfId="0" applyFont="1" applyBorder="1" applyAlignment="1">
      <alignment horizontal="right"/>
    </xf>
    <xf numFmtId="165" fontId="30" fillId="7" borderId="15" xfId="0" applyNumberFormat="1" applyFont="1" applyFill="1" applyBorder="1"/>
    <xf numFmtId="0" fontId="30" fillId="7" borderId="15" xfId="0" applyFont="1" applyFill="1" applyBorder="1" applyAlignment="1">
      <alignment horizontal="right"/>
    </xf>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0" fontId="24" fillId="13" borderId="0" xfId="5" applyFont="1" applyBorder="1" applyAlignment="1">
      <alignment horizontal="center" vertical="center"/>
    </xf>
    <xf numFmtId="0" fontId="3" fillId="0" borderId="0" xfId="0" applyFont="1" applyAlignment="1">
      <alignment horizontal="left" vertical="center" wrapText="1"/>
    </xf>
    <xf numFmtId="0" fontId="8" fillId="0" borderId="0" xfId="1" applyBorder="1"/>
    <xf numFmtId="0" fontId="3" fillId="0" borderId="0" xfId="0" applyFont="1" applyAlignment="1">
      <alignment horizontal="left" wrapText="1"/>
    </xf>
    <xf numFmtId="0" fontId="0" fillId="0" borderId="39" xfId="0" applyBorder="1"/>
    <xf numFmtId="0" fontId="0" fillId="0" borderId="40" xfId="0" applyBorder="1"/>
    <xf numFmtId="0" fontId="0" fillId="0" borderId="41" xfId="0" applyBorder="1"/>
    <xf numFmtId="0" fontId="27" fillId="0" borderId="14" xfId="3" applyFont="1" applyAlignment="1">
      <alignment horizontal="center"/>
    </xf>
    <xf numFmtId="0" fontId="22" fillId="13" borderId="0" xfId="5" applyFont="1" applyBorder="1" applyAlignment="1">
      <alignment horizontal="center"/>
    </xf>
    <xf numFmtId="0" fontId="8" fillId="0" borderId="40" xfId="1" applyBorder="1"/>
    <xf numFmtId="0" fontId="31" fillId="0" borderId="0" xfId="0" applyFont="1" applyAlignment="1">
      <alignment horizontal="center" vertical="center"/>
    </xf>
    <xf numFmtId="0" fontId="0" fillId="19" borderId="0" xfId="0" applyFill="1"/>
    <xf numFmtId="0" fontId="0" fillId="7" borderId="16" xfId="0" applyFill="1" applyBorder="1"/>
    <xf numFmtId="165" fontId="0" fillId="7" borderId="15" xfId="0" applyNumberFormat="1" applyFill="1" applyBorder="1"/>
    <xf numFmtId="0" fontId="0" fillId="7" borderId="15" xfId="0" applyFill="1" applyBorder="1" applyAlignment="1">
      <alignment horizontal="right"/>
    </xf>
    <xf numFmtId="0" fontId="0" fillId="0" borderId="16" xfId="0" applyBorder="1"/>
    <xf numFmtId="165" fontId="0" fillId="0" borderId="15" xfId="0" applyNumberFormat="1" applyBorder="1"/>
    <xf numFmtId="0" fontId="0" fillId="0" borderId="15" xfId="0" applyBorder="1" applyAlignment="1">
      <alignment horizontal="right"/>
    </xf>
    <xf numFmtId="165" fontId="13" fillId="0" borderId="15" xfId="0" applyNumberFormat="1" applyFont="1" applyBorder="1"/>
    <xf numFmtId="0" fontId="13" fillId="0" borderId="15" xfId="0" applyFont="1" applyBorder="1" applyAlignment="1">
      <alignment horizontal="right"/>
    </xf>
    <xf numFmtId="165" fontId="13" fillId="7" borderId="15" xfId="0" applyNumberFormat="1" applyFont="1" applyFill="1" applyBorder="1"/>
    <xf numFmtId="0" fontId="13" fillId="7" borderId="15" xfId="0" applyFont="1" applyFill="1" applyBorder="1" applyAlignment="1">
      <alignment horizontal="right"/>
    </xf>
    <xf numFmtId="9" fontId="0" fillId="0" borderId="0" xfId="8" applyFont="1" applyAlignment="1">
      <alignment horizontal="left"/>
    </xf>
    <xf numFmtId="0" fontId="0" fillId="0" borderId="0" xfId="0" applyAlignment="1">
      <alignment horizontal="right"/>
    </xf>
    <xf numFmtId="9" fontId="0" fillId="0" borderId="0" xfId="0" applyNumberFormat="1" applyAlignment="1">
      <alignment horizontal="left"/>
    </xf>
    <xf numFmtId="0" fontId="32" fillId="0" borderId="0" xfId="0" applyFont="1" applyAlignment="1">
      <alignment horizontal="left" vertical="center" wrapText="1" indent="3"/>
    </xf>
    <xf numFmtId="9" fontId="33" fillId="0" borderId="41" xfId="8" applyFont="1" applyBorder="1" applyAlignment="1">
      <alignment horizontal="left" vertical="center" wrapText="1"/>
    </xf>
    <xf numFmtId="0" fontId="33" fillId="0" borderId="42" xfId="0" applyFont="1" applyBorder="1" applyAlignment="1">
      <alignment horizontal="center" vertical="center" wrapText="1"/>
    </xf>
    <xf numFmtId="0" fontId="34" fillId="0" borderId="43" xfId="0" applyFont="1" applyBorder="1" applyAlignment="1">
      <alignment horizontal="right" vertical="center" wrapText="1"/>
    </xf>
    <xf numFmtId="0" fontId="33" fillId="0" borderId="44" xfId="0" applyFont="1" applyBorder="1" applyAlignment="1" applyProtection="1">
      <alignment horizontal="left" vertical="center" wrapText="1"/>
      <protection locked="0"/>
    </xf>
    <xf numFmtId="0" fontId="35" fillId="0" borderId="45" xfId="0" applyFont="1" applyBorder="1" applyAlignment="1">
      <alignment horizontal="center" vertical="center" wrapText="1"/>
    </xf>
    <xf numFmtId="0" fontId="36" fillId="0" borderId="46" xfId="0" applyFont="1" applyBorder="1" applyAlignment="1">
      <alignment horizontal="left" vertical="center" wrapText="1" indent="2"/>
    </xf>
    <xf numFmtId="0" fontId="33" fillId="0" borderId="47" xfId="0" applyFont="1" applyBorder="1" applyAlignment="1" applyProtection="1">
      <alignment horizontal="left" vertical="center" wrapText="1"/>
      <protection locked="0"/>
    </xf>
    <xf numFmtId="0" fontId="33" fillId="0" borderId="36" xfId="0" applyFont="1" applyBorder="1" applyAlignment="1" applyProtection="1">
      <alignment horizontal="left" vertical="center" wrapText="1"/>
      <protection locked="0"/>
    </xf>
    <xf numFmtId="0" fontId="35" fillId="0" borderId="51" xfId="0" applyFont="1" applyBorder="1" applyAlignment="1">
      <alignment horizontal="center" vertical="center" wrapText="1"/>
    </xf>
    <xf numFmtId="0" fontId="0" fillId="0" borderId="52" xfId="0" applyBorder="1" applyAlignment="1">
      <alignment horizontal="left" vertical="center" wrapText="1" indent="2"/>
    </xf>
    <xf numFmtId="0" fontId="33" fillId="0" borderId="53" xfId="0" applyFont="1" applyBorder="1" applyAlignment="1" applyProtection="1">
      <alignment horizontal="left" vertical="center" wrapText="1"/>
      <protection locked="0"/>
    </xf>
    <xf numFmtId="0" fontId="33" fillId="0" borderId="54" xfId="0" applyFont="1" applyBorder="1" applyAlignment="1" applyProtection="1">
      <alignment horizontal="left" vertical="center" wrapText="1"/>
      <protection locked="0"/>
    </xf>
    <xf numFmtId="0" fontId="33" fillId="0" borderId="55" xfId="0" applyFont="1" applyBorder="1" applyAlignment="1" applyProtection="1">
      <alignment horizontal="center" vertical="center" wrapText="1"/>
      <protection locked="0"/>
    </xf>
    <xf numFmtId="0" fontId="0" fillId="0" borderId="56" xfId="0" applyBorder="1" applyAlignment="1" applyProtection="1">
      <alignment horizontal="left"/>
      <protection locked="0"/>
    </xf>
    <xf numFmtId="0" fontId="36" fillId="0" borderId="52" xfId="0" applyFont="1" applyBorder="1" applyAlignment="1">
      <alignment horizontal="left" vertical="center" wrapText="1" indent="2"/>
    </xf>
    <xf numFmtId="0" fontId="33" fillId="0" borderId="38" xfId="0" applyFont="1" applyBorder="1" applyAlignment="1" applyProtection="1">
      <alignment horizontal="left" vertical="center" wrapText="1"/>
      <protection locked="0"/>
    </xf>
    <xf numFmtId="0" fontId="35" fillId="0" borderId="55" xfId="0" applyFont="1" applyBorder="1" applyAlignment="1">
      <alignment horizontal="center" vertical="center" wrapText="1"/>
    </xf>
    <xf numFmtId="0" fontId="36" fillId="0" borderId="57" xfId="0" applyFont="1" applyBorder="1" applyAlignment="1">
      <alignment horizontal="left" vertical="center" wrapText="1" indent="2"/>
    </xf>
    <xf numFmtId="0" fontId="37" fillId="0" borderId="48" xfId="0" applyFont="1" applyBorder="1" applyAlignment="1">
      <alignment horizontal="center" vertical="center" wrapText="1"/>
    </xf>
    <xf numFmtId="0" fontId="37" fillId="0" borderId="58" xfId="0" applyFont="1" applyBorder="1" applyAlignment="1">
      <alignment horizontal="center" vertical="center" wrapText="1"/>
    </xf>
    <xf numFmtId="0" fontId="37" fillId="0" borderId="59" xfId="0" applyFont="1" applyBorder="1" applyAlignment="1">
      <alignment horizontal="center" vertical="center" wrapText="1"/>
    </xf>
    <xf numFmtId="0" fontId="38" fillId="0" borderId="60" xfId="0" applyFont="1" applyBorder="1" applyAlignment="1">
      <alignment horizontal="center" vertical="center" wrapText="1"/>
    </xf>
    <xf numFmtId="0" fontId="32" fillId="0" borderId="0" xfId="0" applyFont="1" applyAlignment="1">
      <alignment horizontal="left" vertical="center" wrapText="1"/>
    </xf>
    <xf numFmtId="0" fontId="39" fillId="0" borderId="0" xfId="0" applyFont="1" applyAlignment="1">
      <alignment vertical="center"/>
    </xf>
    <xf numFmtId="0" fontId="40" fillId="0" borderId="0" xfId="0" applyFont="1" applyAlignment="1">
      <alignment wrapText="1"/>
    </xf>
    <xf numFmtId="0" fontId="34" fillId="0" borderId="50" xfId="0" applyFont="1" applyBorder="1" applyAlignment="1">
      <alignment horizontal="left" vertical="center" wrapText="1"/>
    </xf>
    <xf numFmtId="0" fontId="34" fillId="0" borderId="49" xfId="0" applyFont="1" applyBorder="1" applyAlignment="1">
      <alignment horizontal="left" vertical="center" wrapText="1"/>
    </xf>
    <xf numFmtId="0" fontId="34" fillId="0" borderId="36" xfId="0" applyFont="1" applyBorder="1" applyAlignment="1">
      <alignment horizontal="left" vertical="center" wrapText="1"/>
    </xf>
    <xf numFmtId="0" fontId="34" fillId="0" borderId="50" xfId="0" applyFont="1" applyBorder="1" applyAlignment="1">
      <alignment vertical="center" wrapText="1"/>
    </xf>
    <xf numFmtId="0" fontId="34" fillId="0" borderId="49" xfId="0" applyFont="1" applyBorder="1" applyAlignment="1">
      <alignment vertical="center" wrapText="1"/>
    </xf>
    <xf numFmtId="0" fontId="34" fillId="0" borderId="48" xfId="0" applyFont="1" applyBorder="1" applyAlignment="1">
      <alignment vertical="center" wrapText="1"/>
    </xf>
    <xf numFmtId="0" fontId="34" fillId="0" borderId="50" xfId="0" applyFont="1" applyBorder="1" applyAlignment="1">
      <alignment vertical="top" wrapText="1"/>
    </xf>
    <xf numFmtId="0" fontId="34" fillId="0" borderId="49" xfId="0" applyFont="1" applyBorder="1" applyAlignment="1">
      <alignment vertical="top" wrapText="1"/>
    </xf>
    <xf numFmtId="0" fontId="34" fillId="0" borderId="48" xfId="0" applyFont="1" applyBorder="1" applyAlignment="1">
      <alignment vertical="top" wrapText="1"/>
    </xf>
    <xf numFmtId="0" fontId="2" fillId="16" borderId="0" xfId="0" applyFont="1" applyFill="1" applyAlignment="1">
      <alignment horizontal="center" vertical="center"/>
    </xf>
    <xf numFmtId="0" fontId="0" fillId="0" borderId="0" xfId="0" applyAlignment="1">
      <alignment horizontal="center" vertical="center"/>
    </xf>
    <xf numFmtId="0" fontId="28" fillId="18" borderId="28" xfId="7" applyFont="1" applyBorder="1" applyAlignment="1">
      <alignment horizontal="center" vertical="center"/>
    </xf>
    <xf numFmtId="0" fontId="28" fillId="18" borderId="29" xfId="7" applyFont="1" applyBorder="1" applyAlignment="1">
      <alignment horizontal="center" vertical="center"/>
    </xf>
    <xf numFmtId="0" fontId="28" fillId="18" borderId="30" xfId="7" applyFont="1" applyBorder="1" applyAlignment="1">
      <alignment horizontal="center" vertical="center"/>
    </xf>
    <xf numFmtId="0" fontId="28" fillId="18" borderId="31" xfId="7" applyFont="1" applyBorder="1" applyAlignment="1">
      <alignment horizontal="center" vertical="center"/>
    </xf>
    <xf numFmtId="0" fontId="28" fillId="18" borderId="32" xfId="7" applyFont="1" applyBorder="1" applyAlignment="1">
      <alignment horizontal="center" vertical="center"/>
    </xf>
    <xf numFmtId="0" fontId="28" fillId="18" borderId="33" xfId="7" applyFont="1" applyBorder="1" applyAlignment="1">
      <alignment horizontal="center" vertical="center"/>
    </xf>
    <xf numFmtId="0" fontId="25" fillId="14" borderId="0" xfId="0" applyFont="1" applyFill="1" applyAlignment="1">
      <alignment horizontal="center"/>
    </xf>
    <xf numFmtId="0" fontId="31" fillId="0" borderId="25" xfId="0" applyFont="1" applyBorder="1" applyAlignment="1">
      <alignment horizontal="center" vertical="center"/>
    </xf>
  </cellXfs>
  <cellStyles count="9">
    <cellStyle name="20% - Accent5" xfId="4" builtinId="46"/>
    <cellStyle name="60% - Accent5" xfId="5" builtinId="48"/>
    <cellStyle name="Accent1" xfId="2" builtinId="29"/>
    <cellStyle name="Check Cell" xfId="7" builtinId="23"/>
    <cellStyle name="Comma" xfId="6" builtinId="3"/>
    <cellStyle name="Heading 1" xfId="3" builtinId="16"/>
    <cellStyle name="Hyperlink" xfId="1" builtinId="8"/>
    <cellStyle name="Normal" xfId="0" builtinId="0"/>
    <cellStyle name="Percent" xfId="8" builtinId="5"/>
  </cellStyles>
  <dxfs count="187">
    <dxf>
      <font>
        <b val="0"/>
        <i val="0"/>
        <strike val="0"/>
        <condense val="0"/>
        <extend val="0"/>
        <outline val="0"/>
        <shadow val="0"/>
        <u val="none"/>
        <vertAlign val="baseline"/>
        <sz val="13"/>
        <color theme="1"/>
        <name val="Helvetica Neue"/>
        <family val="2"/>
        <scheme val="none"/>
      </font>
    </dxf>
    <dxf>
      <font>
        <strike val="0"/>
        <outline val="0"/>
        <shadow val="0"/>
        <u val="none"/>
        <vertAlign val="baseline"/>
        <sz val="14"/>
        <color theme="1"/>
        <name val="Calibri"/>
        <family val="2"/>
        <scheme val="minor"/>
      </font>
    </dxf>
    <dxf>
      <font>
        <b/>
        <strike val="0"/>
        <outline val="0"/>
        <shadow val="0"/>
        <u val="none"/>
        <vertAlign val="baseline"/>
        <sz val="11"/>
        <color theme="1"/>
        <name val="Calibri"/>
        <family val="2"/>
        <scheme val="minor"/>
      </font>
      <alignment horizontal="left" textRotation="0" wrapText="1" indent="0" justifyLastLine="0" shrinkToFit="0" readingOrder="0"/>
    </dxf>
    <dxf>
      <font>
        <b/>
        <strike val="0"/>
        <outline val="0"/>
        <shadow val="0"/>
        <u val="none"/>
        <vertAlign val="baseline"/>
        <sz val="11"/>
        <color theme="1"/>
        <name val="Calibri"/>
        <family val="2"/>
        <scheme val="minor"/>
      </font>
      <alignment horizontal="left" textRotation="0" wrapText="1" indent="0" justifyLastLine="0" shrinkToFit="0" readingOrder="0"/>
    </dxf>
    <dxf>
      <font>
        <strike val="0"/>
        <outline val="0"/>
        <shadow val="0"/>
        <u val="none"/>
        <vertAlign val="baseline"/>
        <sz val="14"/>
        <color auto="1"/>
        <name val="Calibri"/>
        <family val="2"/>
        <scheme val="minor"/>
      </font>
      <alignment horizontal="center" vertical="center" textRotation="0" wrapText="0" indent="0" justifyLastLine="0" shrinkToFit="0" readingOrder="0"/>
    </dxf>
    <dxf>
      <numFmt numFmtId="166" formatCode="General\%"/>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166" formatCode="General\%"/>
    </dxf>
    <dxf>
      <alignment wrapText="1"/>
    </dxf>
    <dxf>
      <alignment wrapText="1"/>
    </dxf>
    <dxf>
      <numFmt numFmtId="165" formatCode="&quot;$&quot;#,##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4" formatCode="0.00%"/>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wrapText="1"/>
    </dxf>
    <dxf>
      <alignment wrapText="1"/>
    </dxf>
    <dxf>
      <numFmt numFmtId="164" formatCode="&quot;$&quot;#,##0"/>
    </dxf>
    <dxf>
      <numFmt numFmtId="165" formatCode="&quot;$&quot;#,##0.00"/>
    </dxf>
    <dxf>
      <font>
        <b val="0"/>
        <i val="0"/>
        <strike val="0"/>
        <condense val="0"/>
        <extend val="0"/>
        <outline val="0"/>
        <shadow val="0"/>
        <u val="none"/>
        <vertAlign val="baseline"/>
        <sz val="10"/>
        <color rgb="FF000000"/>
        <name val="Calibri"/>
        <family val="2"/>
        <scheme val="none"/>
      </font>
      <numFmt numFmtId="167" formatCode="_(* #,##0_);_(* \(#,##0\);_(* &quot;-&quot;??_);_(@_)"/>
      <fill>
        <patternFill patternType="solid">
          <fgColor rgb="FFFCE4D6"/>
          <bgColor rgb="FFFCE4D6"/>
        </patternFill>
      </fill>
      <border diagonalUp="0" diagonalDown="0">
        <left style="thin">
          <color rgb="FFFABF8F"/>
        </left>
        <right/>
        <top style="thin">
          <color rgb="FFFABF8F"/>
        </top>
        <bottom style="thin">
          <color rgb="FFFABF8F"/>
        </bottom>
      </border>
    </dxf>
    <dxf>
      <font>
        <b val="0"/>
        <i val="0"/>
        <strike val="0"/>
        <condense val="0"/>
        <extend val="0"/>
        <outline val="0"/>
        <shadow val="0"/>
        <u val="none"/>
        <vertAlign val="baseline"/>
        <sz val="10"/>
        <color rgb="FF000000"/>
        <name val="Calibri"/>
        <family val="2"/>
        <scheme val="none"/>
      </font>
      <fill>
        <patternFill patternType="solid">
          <fgColor rgb="FFFCE4D6"/>
          <bgColor rgb="FFFCE4D6"/>
        </patternFill>
      </fill>
      <border diagonalUp="0" diagonalDown="0" outline="0">
        <left style="thin">
          <color rgb="FFFABF8F"/>
        </left>
        <right style="thin">
          <color rgb="FFFABF8F"/>
        </right>
        <top style="thin">
          <color rgb="FFFABF8F"/>
        </top>
        <bottom style="thin">
          <color rgb="FFFABF8F"/>
        </bottom>
      </border>
    </dxf>
    <dxf>
      <border outline="0">
        <left style="thin">
          <color rgb="FFFABF8F"/>
        </left>
        <bottom style="thin">
          <color rgb="FFFABF8F"/>
        </bottom>
      </border>
    </dxf>
    <dxf>
      <font>
        <sz val="10"/>
        <color rgb="FF000000"/>
      </font>
      <numFmt numFmtId="3" formatCode="#,##0"/>
      <fill>
        <patternFill patternType="solid">
          <fgColor rgb="FFFCE4D6"/>
          <bgColor rgb="FFFCE4D6"/>
        </patternFill>
      </fill>
      <border diagonalUp="0" diagonalDown="0">
        <left/>
        <right style="thin">
          <color rgb="FFFABF8F"/>
        </right>
        <top style="thin">
          <color rgb="FFFABF8F"/>
        </top>
        <bottom style="thin">
          <color rgb="FFFABF8F"/>
        </bottom>
        <vertical/>
        <horizontal/>
      </border>
    </dxf>
    <dxf>
      <font>
        <b val="0"/>
        <i val="0"/>
        <strike val="0"/>
        <condense val="0"/>
        <extend val="0"/>
        <outline val="0"/>
        <shadow val="0"/>
        <u val="none"/>
        <vertAlign val="baseline"/>
        <sz val="11"/>
        <color rgb="FF000000"/>
        <name val="Calibri"/>
        <family val="2"/>
        <scheme val="none"/>
      </font>
      <numFmt numFmtId="14" formatCode="0.00%"/>
      <fill>
        <patternFill patternType="solid">
          <fgColor rgb="FFFDE9D9"/>
          <bgColor rgb="FFFDE9D9"/>
        </patternFill>
      </fill>
      <alignment horizontal="general" vertical="bottom" textRotation="0" wrapText="0" indent="0" justifyLastLine="0" shrinkToFit="0" readingOrder="0"/>
      <border diagonalUp="0" diagonalDown="0">
        <left/>
        <right style="thin">
          <color rgb="FFFABF8F"/>
        </right>
        <top/>
        <bottom style="thin">
          <color rgb="FFFABF8F"/>
        </bottom>
        <vertical/>
        <horizontal/>
      </border>
    </dxf>
    <dxf>
      <font>
        <b val="0"/>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strike val="0"/>
        <outline val="0"/>
        <shadow val="0"/>
        <u val="none"/>
        <vertAlign val="baseline"/>
        <sz val="11"/>
        <color auto="1"/>
        <name val="Calibri"/>
        <family val="2"/>
      </font>
    </dxf>
    <dxf>
      <font>
        <strike val="0"/>
        <outline val="0"/>
        <shadow val="0"/>
        <u val="none"/>
        <vertAlign val="baseline"/>
        <sz val="11"/>
        <color auto="1"/>
        <name val="Calibri"/>
        <family val="2"/>
      </font>
    </dxf>
    <dxf>
      <font>
        <strike val="0"/>
        <outline val="0"/>
        <shadow val="0"/>
        <u val="none"/>
        <vertAlign val="baseline"/>
        <sz val="11"/>
        <color auto="1"/>
        <name val="Calibri"/>
        <family val="2"/>
      </font>
    </dxf>
    <dxf>
      <font>
        <strike val="0"/>
        <outline val="0"/>
        <shadow val="0"/>
        <u val="none"/>
        <vertAlign val="baseline"/>
        <sz val="11"/>
        <color auto="1"/>
        <name val="Calibri"/>
        <family val="2"/>
      </font>
    </dxf>
    <dxf>
      <font>
        <strike val="0"/>
        <outline val="0"/>
        <shadow val="0"/>
        <u val="none"/>
        <vertAlign val="baseline"/>
        <sz val="11"/>
        <color auto="1"/>
        <name val="Calibri"/>
        <family val="2"/>
      </font>
    </dxf>
    <dxf>
      <font>
        <strike val="0"/>
        <outline val="0"/>
        <shadow val="0"/>
        <u val="none"/>
        <vertAlign val="baseline"/>
        <sz val="11"/>
        <color auto="1"/>
        <name val="Calibri"/>
        <family val="2"/>
      </font>
      <fill>
        <patternFill patternType="solid">
          <fgColor theme="5" tint="0.79998168889431442"/>
          <bgColor theme="5" tint="0.79998168889431442"/>
        </patternFill>
      </fill>
      <border diagonalUp="0" diagonalDown="0" outline="0">
        <left/>
        <right/>
        <top style="thin">
          <color theme="5" tint="0.39997558519241921"/>
        </top>
        <bottom style="thin">
          <color theme="5" tint="0.39997558519241921"/>
        </bottom>
      </border>
    </dxf>
    <dxf>
      <border outline="0">
        <left style="thin">
          <color theme="5" tint="0.39997558519241921"/>
        </left>
        <right style="thin">
          <color theme="4" tint="0.39997558519241921"/>
        </right>
      </border>
    </dxf>
    <dxf>
      <font>
        <strike val="0"/>
        <outline val="0"/>
        <shadow val="0"/>
        <u val="none"/>
        <vertAlign val="baseline"/>
        <sz val="11"/>
        <color auto="1"/>
        <name val="Calibri"/>
        <family val="2"/>
      </font>
    </dxf>
    <dxf>
      <font>
        <b/>
        <i val="0"/>
        <strike val="0"/>
        <condense val="0"/>
        <extend val="0"/>
        <outline val="0"/>
        <shadow val="0"/>
        <u val="none"/>
        <vertAlign val="baseline"/>
        <sz val="11"/>
        <color theme="0"/>
        <name val="Calibri"/>
        <family val="2"/>
        <scheme val="minor"/>
      </font>
      <fill>
        <patternFill patternType="solid">
          <fgColor theme="5"/>
          <bgColor theme="5"/>
        </patternFill>
      </fill>
    </dxf>
    <dxf>
      <font>
        <b val="0"/>
        <i val="0"/>
        <strike val="0"/>
        <condense val="0"/>
        <extend val="0"/>
        <outline val="0"/>
        <shadow val="0"/>
        <u val="none"/>
        <vertAlign val="baseline"/>
        <sz val="11"/>
        <color auto="1"/>
        <name val="Calibri"/>
        <family val="2"/>
        <scheme val="minor"/>
      </font>
      <fill>
        <patternFill patternType="solid">
          <fgColor theme="5" tint="0.79998168889431442"/>
          <bgColor theme="5" tint="0.79998168889431442"/>
        </patternFill>
      </fill>
      <border diagonalUp="0" diagonalDown="0" outline="0">
        <left/>
        <right/>
        <top style="thin">
          <color theme="5" tint="0.39997558519241921"/>
        </top>
        <bottom style="thin">
          <color theme="5" tint="0.39997558519241921"/>
        </bottom>
      </border>
    </dxf>
    <dxf>
      <font>
        <strike val="0"/>
        <outline val="0"/>
        <shadow val="0"/>
        <u val="none"/>
        <vertAlign val="baseline"/>
        <sz val="11"/>
        <color auto="1"/>
        <name val="Calibri"/>
        <family val="2"/>
      </font>
      <numFmt numFmtId="0" formatCode="General"/>
    </dxf>
    <dxf>
      <font>
        <strike val="0"/>
        <outline val="0"/>
        <shadow val="0"/>
        <u val="none"/>
        <vertAlign val="baseline"/>
        <sz val="11"/>
        <color auto="1"/>
        <name val="Calibri"/>
        <family val="2"/>
      </font>
      <numFmt numFmtId="3" formatCode="#,##0"/>
      <alignment horizontal="center" vertical="center" textRotation="0" wrapText="1" indent="0" justifyLastLine="0" shrinkToFit="0" readingOrder="0"/>
    </dxf>
    <dxf>
      <font>
        <strike val="0"/>
        <outline val="0"/>
        <shadow val="0"/>
        <u val="none"/>
        <vertAlign val="baseline"/>
        <sz val="11"/>
        <color auto="1"/>
        <name val="Calibri"/>
        <family val="2"/>
      </font>
    </dxf>
    <dxf>
      <font>
        <b val="0"/>
        <i val="0"/>
        <strike val="0"/>
        <condense val="0"/>
        <extend val="0"/>
        <outline val="0"/>
        <shadow val="0"/>
        <u val="none"/>
        <vertAlign val="baseline"/>
        <sz val="11"/>
        <color auto="1"/>
        <name val="Calibri"/>
        <family val="2"/>
        <scheme val="minor"/>
      </font>
      <fill>
        <patternFill patternType="solid">
          <fgColor theme="5" tint="0.79998168889431442"/>
          <bgColor theme="5" tint="0.79998168889431442"/>
        </patternFill>
      </fill>
      <border diagonalUp="0" diagonalDown="0" outline="0">
        <left/>
        <right/>
        <top style="thin">
          <color theme="5" tint="0.39997558519241921"/>
        </top>
        <bottom style="thin">
          <color theme="5" tint="0.39997558519241921"/>
        </bottom>
      </border>
    </dxf>
    <dxf>
      <font>
        <strike val="0"/>
        <outline val="0"/>
        <shadow val="0"/>
        <u val="none"/>
        <vertAlign val="baseline"/>
        <sz val="11"/>
        <color auto="1"/>
        <name val="Calibri"/>
        <family val="2"/>
      </font>
    </dxf>
    <dxf>
      <font>
        <b val="0"/>
      </font>
      <numFmt numFmtId="166" formatCode="General\%"/>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65" formatCode="&quot;$&quot;#,##0.00"/>
      <alignment horizontal="center" vertical="center" textRotation="0" wrapText="0" indent="0" justifyLastLine="0" shrinkToFit="0" readingOrder="0"/>
    </dxf>
    <dxf>
      <font>
        <b val="0"/>
      </font>
      <numFmt numFmtId="165" formatCode="&quot;$&quot;#,##0.00"/>
      <alignment horizontal="center" vertical="center" textRotation="0" wrapText="0" indent="0" justifyLastLine="0" shrinkToFit="0" readingOrder="0"/>
    </dxf>
    <dxf>
      <font>
        <b val="0"/>
      </font>
      <numFmt numFmtId="165" formatCode="&quot;$&quot;#,##0.00"/>
      <alignment horizontal="center" vertical="center" textRotation="0" wrapText="0" indent="0" justifyLastLine="0" shrinkToFit="0" readingOrder="0"/>
    </dxf>
    <dxf>
      <font>
        <b val="0"/>
      </font>
      <numFmt numFmtId="166" formatCode="General\%"/>
      <alignment horizontal="center" vertical="center" textRotation="0" wrapText="0" indent="0" justifyLastLine="0" shrinkToFit="0" readingOrder="0"/>
    </dxf>
    <dxf>
      <font>
        <b val="0"/>
      </font>
      <numFmt numFmtId="166" formatCode="General\%"/>
      <alignment horizontal="center" textRotation="0" wrapText="0" indent="0" justifyLastLine="0" shrinkToFit="0" readingOrder="0"/>
    </dxf>
    <dxf>
      <font>
        <b val="0"/>
      </font>
      <numFmt numFmtId="166" formatCode="General\%"/>
      <alignment horizontal="center" textRotation="0" wrapText="0" indent="0" justifyLastLine="0" shrinkToFit="0" readingOrder="0"/>
    </dxf>
    <dxf>
      <font>
        <b val="0"/>
      </font>
      <numFmt numFmtId="167" formatCode="_(* #,##0_);_(* \(#,##0\);_(*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border outline="0">
        <left style="thin">
          <color theme="5" tint="0.39997558519241921"/>
        </left>
        <right style="thin">
          <color theme="4" tint="0.39997558519241921"/>
        </right>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font>
        <b val="0"/>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numFmt numFmtId="0" formatCode="General"/>
    </dxf>
    <dxf>
      <numFmt numFmtId="3" formatCode="#,##0"/>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1"/>
        <color theme="0"/>
        <name val="Calibri"/>
        <scheme val="minor"/>
      </font>
      <fill>
        <patternFill patternType="solid">
          <fgColor theme="4"/>
          <bgColor indexed="65"/>
        </patternFill>
      </fill>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numFmt numFmtId="165" formatCode="&quot;$&quot;#,##0.00"/>
    </dxf>
    <dxf>
      <font>
        <b val="0"/>
        <i val="0"/>
        <strike val="0"/>
        <condense val="0"/>
        <extend val="0"/>
        <outline val="0"/>
        <shadow val="0"/>
        <u val="none"/>
        <vertAlign val="baseline"/>
        <sz val="16"/>
        <color theme="1"/>
        <name val="Calibri"/>
        <family val="2"/>
        <scheme val="minor"/>
      </font>
      <numFmt numFmtId="165" formatCode="&quot;$&quot;#,##0.00"/>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0"/>
        <name val="Calibri"/>
        <family val="2"/>
        <scheme val="minor"/>
      </font>
      <fill>
        <patternFill patternType="solid">
          <fgColor theme="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4" formatCode="&quot;$&quot;#,##0"/>
      <alignment horizontal="left" vertical="bottom" textRotation="0" wrapText="0" indent="0" justifyLastLine="0" shrinkToFit="0" readingOrder="0"/>
    </dxf>
    <dxf>
      <border outline="0">
        <top style="thin">
          <color theme="9" tint="0.39997558519241921"/>
        </top>
      </border>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9.5"/>
        <color theme="0"/>
        <name val="Arial"/>
        <family val="2"/>
        <scheme val="none"/>
      </font>
      <fill>
        <patternFill patternType="solid">
          <fgColor theme="9"/>
          <bgColor theme="9"/>
        </patternFill>
      </fill>
    </dxf>
    <dxf>
      <numFmt numFmtId="0" formatCode="General"/>
    </dxf>
    <dxf>
      <numFmt numFmtId="0" formatCode="General"/>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family val="2"/>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0"/>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164" formatCode="&quot;$&quot;#,##0"/>
      <fill>
        <patternFill patternType="solid">
          <fgColor indexed="64"/>
          <bgColor rgb="FFFAFBFE"/>
        </patternFill>
      </fill>
      <alignment horizontal="left" vertical="bottom" textRotation="0" wrapText="0" indent="0" justifyLastLine="0" shrinkToFit="0" readingOrder="0"/>
      <border diagonalUp="0" diagonalDown="0">
        <left style="thin">
          <color theme="9" tint="0.39997558519241921"/>
        </left>
        <right/>
        <top style="thin">
          <color theme="9" tint="0.39997558519241921"/>
        </top>
        <bottom/>
        <vertical/>
        <horizontal/>
      </border>
    </dxf>
    <dxf>
      <font>
        <b val="0"/>
        <i val="0"/>
        <strike val="0"/>
        <condense val="0"/>
        <extend val="0"/>
        <outline val="0"/>
        <shadow val="0"/>
        <u val="none"/>
        <vertAlign val="baseline"/>
        <sz val="9.5"/>
        <color theme="1"/>
        <name val="Arial"/>
        <scheme val="none"/>
      </font>
      <numFmt numFmtId="0" formatCode="General"/>
      <fill>
        <patternFill patternType="solid">
          <fgColor indexed="64"/>
          <bgColor rgb="FFFAFBFE"/>
        </patternFill>
      </fill>
      <alignment horizontal="left" vertical="bottom" textRotation="0" wrapText="0" indent="0" justifyLastLine="0" shrinkToFit="0" readingOrder="0"/>
      <border diagonalUp="0" diagonalDown="0">
        <left/>
        <right style="thin">
          <color theme="0"/>
        </right>
        <top style="thin">
          <color theme="9" tint="0.39997558519241921"/>
        </top>
        <bottom style="thin">
          <color theme="0"/>
        </bottom>
        <vertical/>
        <horizontal/>
      </border>
    </dxf>
    <dxf>
      <border outline="0">
        <left style="thin">
          <color theme="0"/>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9.5"/>
        <color theme="1"/>
        <name val="Arial"/>
        <scheme val="none"/>
      </font>
      <fill>
        <patternFill patternType="solid">
          <fgColor indexed="64"/>
          <bgColor rgb="FFFAFBFE"/>
        </patternFill>
      </fill>
      <alignment horizontal="left" vertical="bottom" textRotation="0" wrapText="0" indent="0" justifyLastLine="0" shrinkToFit="0" readingOrder="0"/>
    </dxf>
    <dxf>
      <font>
        <b/>
        <i val="0"/>
        <strike val="0"/>
        <condense val="0"/>
        <extend val="0"/>
        <outline val="0"/>
        <shadow val="0"/>
        <u val="none"/>
        <vertAlign val="baseline"/>
        <sz val="9.5"/>
        <color theme="0"/>
        <name val="Arial"/>
        <scheme val="none"/>
      </font>
      <fill>
        <patternFill patternType="solid">
          <fgColor theme="9"/>
          <bgColor theme="9"/>
        </patternFill>
      </fill>
      <border diagonalUp="0" diagonalDown="0" outline="0">
        <left style="thin">
          <color theme="0"/>
        </left>
        <right style="thin">
          <color theme="0"/>
        </right>
        <top/>
        <bottom/>
      </border>
    </dxf>
    <dxf>
      <font>
        <b/>
        <color theme="1"/>
      </font>
      <border>
        <bottom style="thin">
          <color theme="4"/>
        </bottom>
        <vertical/>
        <horizontal/>
      </border>
    </dxf>
    <dxf>
      <font>
        <color theme="1"/>
      </font>
      <fill>
        <patternFill patternType="none">
          <bgColor auto="1"/>
        </patternFill>
      </fill>
      <border>
        <left style="thin">
          <color theme="4"/>
        </left>
        <right style="thin">
          <color theme="4"/>
        </right>
        <top style="thin">
          <color theme="4"/>
        </top>
        <bottom style="thin">
          <color theme="4"/>
        </bottom>
        <vertical/>
        <horizontal/>
      </border>
    </dxf>
    <dxf>
      <font>
        <b/>
        <i val="0"/>
        <sz val="14"/>
        <color theme="0"/>
      </font>
    </dxf>
    <dxf>
      <fill>
        <patternFill>
          <bgColor theme="4" tint="0.39994506668294322"/>
        </patternFill>
      </fill>
    </dxf>
  </dxfs>
  <tableStyles count="2" defaultTableStyle="TableStyleMedium2" defaultPivotStyle="PivotStyleLight16">
    <tableStyle name="New Grp9" pivot="0" table="0" count="9" xr9:uid="{3C759D95-CB6C-462E-A2EF-5E3D4B304E76}">
      <tableStyleElement type="wholeTable" dxfId="186"/>
      <tableStyleElement type="headerRow" dxfId="185"/>
    </tableStyle>
    <tableStyle name="SlicerStyleLight1 2" pivot="0" table="0" count="10" xr9:uid="{7BBECC11-86C9-4FE8-963F-3C7392474D24}">
      <tableStyleElement type="wholeTable" dxfId="184"/>
      <tableStyleElement type="headerRow" dxfId="183"/>
    </tableStyle>
  </tableStyles>
  <extLst>
    <ext xmlns:x14="http://schemas.microsoft.com/office/spreadsheetml/2009/9/main" uri="{46F421CA-312F-682f-3DD2-61675219B42D}">
      <x14:dxfs count="15">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fill>
            <patternFill>
              <bgColor theme="4"/>
            </patternFill>
          </fill>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fill>
            <patternFill>
              <bgColor theme="4" tint="0.39994506668294322"/>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New Grp9">
          <x14:slicerStyleElements>
            <x14:slicerStyleElement type="unselectedItemWithData" dxfId="14"/>
            <x14:slicerStyleElement type="unselectedItemWithNoData" dxfId="13"/>
            <x14:slicerStyleElement type="selectedItemWithData" dxfId="12"/>
            <x14:slicerStyleElement type="selectedItemWithNoData" dxfId="11"/>
            <x14:slicerStyleElement type="hoveredUnselectedItemWithData" dxfId="10"/>
            <x14:slicerStyleElement type="hoveredSelectedItemWith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4.xml"/><Relationship Id="rId21" Type="http://schemas.openxmlformats.org/officeDocument/2006/relationships/externalLink" Target="externalLinks/externalLink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connections" Target="connection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microsoft.com/office/2007/relationships/slicerCache" Target="slicerCaches/slicerCache2.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Dashboard.xlsm]Pivot Tables!Local_Tax</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Local Sales Tax</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Tables'!$B$98</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Tables'!$A$99:$A$114</c:f>
              <c:strCache>
                <c:ptCount val="15"/>
                <c:pt idx="0">
                  <c:v>Chicago</c:v>
                </c:pt>
                <c:pt idx="1">
                  <c:v>Seattle</c:v>
                </c:pt>
                <c:pt idx="2">
                  <c:v>Los Angeles</c:v>
                </c:pt>
                <c:pt idx="3">
                  <c:v>New York</c:v>
                </c:pt>
                <c:pt idx="4">
                  <c:v>San Francisco</c:v>
                </c:pt>
                <c:pt idx="5">
                  <c:v>Las Vegas</c:v>
                </c:pt>
                <c:pt idx="6">
                  <c:v>Dallas</c:v>
                </c:pt>
                <c:pt idx="7">
                  <c:v>Austin</c:v>
                </c:pt>
                <c:pt idx="8">
                  <c:v>Denver</c:v>
                </c:pt>
                <c:pt idx="9">
                  <c:v>Tampa</c:v>
                </c:pt>
                <c:pt idx="10">
                  <c:v>Pittsburgh</c:v>
                </c:pt>
                <c:pt idx="11">
                  <c:v>Miami</c:v>
                </c:pt>
                <c:pt idx="12">
                  <c:v>Boston</c:v>
                </c:pt>
                <c:pt idx="13">
                  <c:v>Washington, D.C.</c:v>
                </c:pt>
                <c:pt idx="14">
                  <c:v>Detroit</c:v>
                </c:pt>
              </c:strCache>
            </c:strRef>
          </c:cat>
          <c:val>
            <c:numRef>
              <c:f>'Pivot Tables'!$B$99:$B$114</c:f>
              <c:numCache>
                <c:formatCode>General\%</c:formatCode>
                <c:ptCount val="15"/>
                <c:pt idx="0">
                  <c:v>10.25</c:v>
                </c:pt>
                <c:pt idx="1">
                  <c:v>10.1</c:v>
                </c:pt>
                <c:pt idx="2">
                  <c:v>9.5</c:v>
                </c:pt>
                <c:pt idx="3">
                  <c:v>8.875</c:v>
                </c:pt>
                <c:pt idx="4">
                  <c:v>8.5</c:v>
                </c:pt>
                <c:pt idx="5">
                  <c:v>8.3800000000000008</c:v>
                </c:pt>
                <c:pt idx="6">
                  <c:v>8.25</c:v>
                </c:pt>
                <c:pt idx="7">
                  <c:v>8.25</c:v>
                </c:pt>
                <c:pt idx="8">
                  <c:v>7.65</c:v>
                </c:pt>
                <c:pt idx="9">
                  <c:v>7.5</c:v>
                </c:pt>
                <c:pt idx="10">
                  <c:v>7</c:v>
                </c:pt>
                <c:pt idx="11">
                  <c:v>7</c:v>
                </c:pt>
                <c:pt idx="12">
                  <c:v>6.25</c:v>
                </c:pt>
                <c:pt idx="13">
                  <c:v>6</c:v>
                </c:pt>
                <c:pt idx="14">
                  <c:v>6</c:v>
                </c:pt>
              </c:numCache>
            </c:numRef>
          </c:val>
          <c:extLst>
            <c:ext xmlns:c16="http://schemas.microsoft.com/office/drawing/2014/chart" uri="{C3380CC4-5D6E-409C-BE32-E72D297353CC}">
              <c16:uniqueId val="{00000000-DA1B-4E9A-9340-5ED6E4967605}"/>
            </c:ext>
          </c:extLst>
        </c:ser>
        <c:dLbls>
          <c:showLegendKey val="0"/>
          <c:showVal val="0"/>
          <c:showCatName val="0"/>
          <c:showSerName val="0"/>
          <c:showPercent val="0"/>
          <c:showBubbleSize val="0"/>
        </c:dLbls>
        <c:gapWidth val="115"/>
        <c:overlap val="-20"/>
        <c:axId val="648063455"/>
        <c:axId val="1391121743"/>
      </c:barChart>
      <c:catAx>
        <c:axId val="64806345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1121743"/>
        <c:crosses val="autoZero"/>
        <c:auto val="1"/>
        <c:lblAlgn val="ctr"/>
        <c:lblOffset val="100"/>
        <c:noMultiLvlLbl val="0"/>
      </c:catAx>
      <c:valAx>
        <c:axId val="1391121743"/>
        <c:scaling>
          <c:orientation val="minMax"/>
          <c:min val="5.5"/>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806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Dashboard.xlsm]Pivot Tables!Weekly_Earnings</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Weekly</a:t>
            </a:r>
            <a:r>
              <a:rPr lang="en-US" baseline="0"/>
              <a:t> Average Earnings in </a:t>
            </a:r>
            <a:r>
              <a:rPr lang="en-US" baseline="0">
                <a:solidFill>
                  <a:schemeClr val="accent4">
                    <a:lumMod val="60000"/>
                    <a:lumOff val="40000"/>
                  </a:schemeClr>
                </a:solidFill>
              </a:rPr>
              <a:t>2023</a:t>
            </a:r>
            <a:r>
              <a:rPr lang="en-US" baseline="0"/>
              <a:t> and </a:t>
            </a:r>
            <a:r>
              <a:rPr lang="en-US" baseline="0">
                <a:solidFill>
                  <a:schemeClr val="accent6"/>
                </a:solidFill>
              </a:rPr>
              <a:t>2024</a:t>
            </a:r>
            <a:endParaRPr lang="en-US">
              <a:solidFill>
                <a:schemeClr val="accent6"/>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Tables'!$E$98</c:f>
              <c:strCache>
                <c:ptCount val="1"/>
                <c:pt idx="0">
                  <c:v>2023</c:v>
                </c:pt>
              </c:strCache>
            </c:strRef>
          </c:tx>
          <c:spPr>
            <a:solidFill>
              <a:schemeClr val="accent4"/>
            </a:solidFill>
            <a:ln>
              <a:noFill/>
            </a:ln>
            <a:effectLst>
              <a:outerShdw blurRad="57150" dist="19050" dir="5400000" algn="ctr" rotWithShape="0">
                <a:srgbClr val="000000">
                  <a:alpha val="63000"/>
                </a:srgbClr>
              </a:outerShdw>
            </a:effectLst>
          </c:spPr>
          <c:invertIfNegative val="0"/>
          <c:cat>
            <c:strRef>
              <c:f>'Pivot Tables'!$D$99:$D$114</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Pittsburgh</c:v>
                </c:pt>
                <c:pt idx="11">
                  <c:v>San Francisco</c:v>
                </c:pt>
                <c:pt idx="12">
                  <c:v>Seattle</c:v>
                </c:pt>
                <c:pt idx="13">
                  <c:v>Tampa</c:v>
                </c:pt>
                <c:pt idx="14">
                  <c:v>Washington, D.C.</c:v>
                </c:pt>
              </c:strCache>
            </c:strRef>
          </c:cat>
          <c:val>
            <c:numRef>
              <c:f>'Pivot Tables'!$E$99:$E$114</c:f>
              <c:numCache>
                <c:formatCode>"$"#,##0</c:formatCode>
                <c:ptCount val="15"/>
                <c:pt idx="0">
                  <c:v>1213.0899999999999</c:v>
                </c:pt>
                <c:pt idx="1">
                  <c:v>1478.81</c:v>
                </c:pt>
                <c:pt idx="2">
                  <c:v>1166.8900000000001</c:v>
                </c:pt>
                <c:pt idx="3">
                  <c:v>1243.1099999999999</c:v>
                </c:pt>
                <c:pt idx="4">
                  <c:v>1344.9</c:v>
                </c:pt>
                <c:pt idx="5">
                  <c:v>1229.8900000000001</c:v>
                </c:pt>
                <c:pt idx="6">
                  <c:v>994.65</c:v>
                </c:pt>
                <c:pt idx="7">
                  <c:v>1314.78</c:v>
                </c:pt>
                <c:pt idx="8">
                  <c:v>1061.05</c:v>
                </c:pt>
                <c:pt idx="9">
                  <c:v>1269.2</c:v>
                </c:pt>
                <c:pt idx="10">
                  <c:v>1038.3</c:v>
                </c:pt>
                <c:pt idx="11">
                  <c:v>1617.09</c:v>
                </c:pt>
                <c:pt idx="12">
                  <c:v>1496.7</c:v>
                </c:pt>
                <c:pt idx="13">
                  <c:v>1085.81</c:v>
                </c:pt>
                <c:pt idx="14">
                  <c:v>1473.12</c:v>
                </c:pt>
              </c:numCache>
            </c:numRef>
          </c:val>
          <c:extLst>
            <c:ext xmlns:c16="http://schemas.microsoft.com/office/drawing/2014/chart" uri="{C3380CC4-5D6E-409C-BE32-E72D297353CC}">
              <c16:uniqueId val="{00000000-7795-4FDA-8B01-54316CFE1357}"/>
            </c:ext>
          </c:extLst>
        </c:ser>
        <c:ser>
          <c:idx val="1"/>
          <c:order val="1"/>
          <c:tx>
            <c:strRef>
              <c:f>'Pivot Tables'!$F$98</c:f>
              <c:strCache>
                <c:ptCount val="1"/>
                <c:pt idx="0">
                  <c:v>2024</c:v>
                </c:pt>
              </c:strCache>
            </c:strRef>
          </c:tx>
          <c:spPr>
            <a:solidFill>
              <a:schemeClr val="accent6"/>
            </a:solidFill>
            <a:ln>
              <a:noFill/>
            </a:ln>
            <a:effectLst>
              <a:outerShdw blurRad="57150" dist="19050" dir="5400000" algn="ctr" rotWithShape="0">
                <a:srgbClr val="000000">
                  <a:alpha val="63000"/>
                </a:srgbClr>
              </a:outerShdw>
            </a:effectLst>
          </c:spPr>
          <c:invertIfNegative val="0"/>
          <c:cat>
            <c:strRef>
              <c:f>'Pivot Tables'!$D$99:$D$114</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Pittsburgh</c:v>
                </c:pt>
                <c:pt idx="11">
                  <c:v>San Francisco</c:v>
                </c:pt>
                <c:pt idx="12">
                  <c:v>Seattle</c:v>
                </c:pt>
                <c:pt idx="13">
                  <c:v>Tampa</c:v>
                </c:pt>
                <c:pt idx="14">
                  <c:v>Washington, D.C.</c:v>
                </c:pt>
              </c:strCache>
            </c:strRef>
          </c:cat>
          <c:val>
            <c:numRef>
              <c:f>'Pivot Tables'!$F$99:$F$114</c:f>
              <c:numCache>
                <c:formatCode>"$"#,##0.00</c:formatCode>
                <c:ptCount val="15"/>
                <c:pt idx="0">
                  <c:v>1241.42</c:v>
                </c:pt>
                <c:pt idx="1">
                  <c:v>1498.72</c:v>
                </c:pt>
                <c:pt idx="2">
                  <c:v>1174.1099999999999</c:v>
                </c:pt>
                <c:pt idx="3">
                  <c:v>1264.1600000000001</c:v>
                </c:pt>
                <c:pt idx="4">
                  <c:v>1375.3</c:v>
                </c:pt>
                <c:pt idx="5">
                  <c:v>1222.92</c:v>
                </c:pt>
                <c:pt idx="6">
                  <c:v>1045.81</c:v>
                </c:pt>
                <c:pt idx="7">
                  <c:v>1302.51</c:v>
                </c:pt>
                <c:pt idx="8">
                  <c:v>1047.54</c:v>
                </c:pt>
                <c:pt idx="9">
                  <c:v>1269.3599999999999</c:v>
                </c:pt>
                <c:pt idx="10">
                  <c:v>1017.27</c:v>
                </c:pt>
                <c:pt idx="11">
                  <c:v>1554.4</c:v>
                </c:pt>
                <c:pt idx="12">
                  <c:v>1481.43</c:v>
                </c:pt>
                <c:pt idx="13">
                  <c:v>1178.93</c:v>
                </c:pt>
                <c:pt idx="14">
                  <c:v>1440.74</c:v>
                </c:pt>
              </c:numCache>
            </c:numRef>
          </c:val>
          <c:extLst>
            <c:ext xmlns:c16="http://schemas.microsoft.com/office/drawing/2014/chart" uri="{C3380CC4-5D6E-409C-BE32-E72D297353CC}">
              <c16:uniqueId val="{00000001-7795-4FDA-8B01-54316CFE1357}"/>
            </c:ext>
          </c:extLst>
        </c:ser>
        <c:dLbls>
          <c:showLegendKey val="0"/>
          <c:showVal val="0"/>
          <c:showCatName val="0"/>
          <c:showSerName val="0"/>
          <c:showPercent val="0"/>
          <c:showBubbleSize val="0"/>
        </c:dLbls>
        <c:gapWidth val="100"/>
        <c:overlap val="-24"/>
        <c:axId val="1391119343"/>
        <c:axId val="1391123663"/>
      </c:barChart>
      <c:catAx>
        <c:axId val="13911193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1123663"/>
        <c:crosses val="autoZero"/>
        <c:auto val="1"/>
        <c:lblAlgn val="ctr"/>
        <c:lblOffset val="100"/>
        <c:noMultiLvlLbl val="0"/>
      </c:catAx>
      <c:valAx>
        <c:axId val="1391123663"/>
        <c:scaling>
          <c:orientation val="minMax"/>
          <c:min val="900"/>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1119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Dashboard.xlsm]Pivot Tables!Average_Population</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State-wise Average Population</a:t>
            </a:r>
            <a:endParaRPr lang="en-US" baseline="0"/>
          </a:p>
        </c:rich>
      </c:tx>
      <c:layout>
        <c:manualLayout>
          <c:xMode val="edge"/>
          <c:yMode val="edge"/>
          <c:x val="0.33715010903753545"/>
          <c:y val="1.75232714090323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rgbClr val="FFC000"/>
            </a:solidFill>
            <a:round/>
          </a:ln>
          <a:effectLst>
            <a:outerShdw blurRad="57150" dist="19050" dir="5400000" algn="ctr" rotWithShape="0">
              <a:srgbClr val="000000">
                <a:alpha val="63000"/>
              </a:srgbClr>
            </a:outerShdw>
          </a:effectLst>
        </c:spPr>
        <c:marker>
          <c:symbol val="dot"/>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rgbClr val="FFC000"/>
            </a:solidFill>
            <a:round/>
          </a:ln>
          <a:effectLst>
            <a:outerShdw blurRad="57150" dist="19050" dir="5400000" algn="ctr" rotWithShape="0">
              <a:srgbClr val="000000">
                <a:alpha val="63000"/>
              </a:srgbClr>
            </a:outerShdw>
          </a:effectLst>
        </c:spPr>
        <c:marker>
          <c:symbol val="dot"/>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bg1"/>
              </a:solidFill>
              <a:round/>
            </a:ln>
            <a:effectLst>
              <a:outerShdw blurRad="57150" dist="19050" dir="5400000" algn="ctr" rotWithShape="0">
                <a:srgbClr val="000000">
                  <a:alpha val="63000"/>
                </a:srgbClr>
              </a:outerShdw>
            </a:effectLst>
          </c:spPr>
        </c:marker>
      </c:pivotFmt>
    </c:pivotFmts>
    <c:plotArea>
      <c:layout/>
      <c:lineChart>
        <c:grouping val="stacked"/>
        <c:varyColors val="0"/>
        <c:ser>
          <c:idx val="0"/>
          <c:order val="0"/>
          <c:tx>
            <c:strRef>
              <c:f>'Pivot Tables'!$B$134</c:f>
              <c:strCache>
                <c:ptCount val="1"/>
                <c:pt idx="0">
                  <c:v>Total</c:v>
                </c:pt>
              </c:strCache>
            </c:strRef>
          </c:tx>
          <c:spPr>
            <a:ln w="34925" cap="rnd">
              <a:solidFill>
                <a:srgbClr val="FFC000"/>
              </a:solidFill>
              <a:round/>
            </a:ln>
            <a:effectLst>
              <a:outerShdw blurRad="57150" dist="19050" dir="5400000" algn="ctr" rotWithShape="0">
                <a:srgbClr val="000000">
                  <a:alpha val="63000"/>
                </a:srgbClr>
              </a:outerShdw>
            </a:effectLst>
          </c:spPr>
          <c:marker>
            <c:symbol val="dot"/>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bg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Tables'!$A$135:$A$147</c:f>
              <c:strCache>
                <c:ptCount val="12"/>
                <c:pt idx="0">
                  <c:v>District of Columbia </c:v>
                </c:pt>
                <c:pt idx="1">
                  <c:v>Nevada</c:v>
                </c:pt>
                <c:pt idx="2">
                  <c:v>Colorado</c:v>
                </c:pt>
                <c:pt idx="3">
                  <c:v>Massachusetts</c:v>
                </c:pt>
                <c:pt idx="4">
                  <c:v>Washington</c:v>
                </c:pt>
                <c:pt idx="5">
                  <c:v>Michigan</c:v>
                </c:pt>
                <c:pt idx="6">
                  <c:v>Illionis</c:v>
                </c:pt>
                <c:pt idx="7">
                  <c:v>Pennsylvania</c:v>
                </c:pt>
                <c:pt idx="8">
                  <c:v>New York </c:v>
                </c:pt>
                <c:pt idx="9">
                  <c:v>Florida</c:v>
                </c:pt>
                <c:pt idx="10">
                  <c:v>Texas</c:v>
                </c:pt>
                <c:pt idx="11">
                  <c:v>California </c:v>
                </c:pt>
              </c:strCache>
            </c:strRef>
          </c:cat>
          <c:val>
            <c:numRef>
              <c:f>'Pivot Tables'!$B$135:$B$147</c:f>
              <c:numCache>
                <c:formatCode>#,##0,"K"</c:formatCode>
                <c:ptCount val="12"/>
                <c:pt idx="0">
                  <c:v>672449.25</c:v>
                </c:pt>
                <c:pt idx="1">
                  <c:v>3158517.25</c:v>
                </c:pt>
                <c:pt idx="2">
                  <c:v>5828866</c:v>
                </c:pt>
                <c:pt idx="3">
                  <c:v>6993450.75</c:v>
                </c:pt>
                <c:pt idx="4">
                  <c:v>7765839</c:v>
                </c:pt>
                <c:pt idx="5">
                  <c:v>10044821.5</c:v>
                </c:pt>
                <c:pt idx="6">
                  <c:v>12653225.5</c:v>
                </c:pt>
                <c:pt idx="7">
                  <c:v>12985716.25</c:v>
                </c:pt>
                <c:pt idx="8">
                  <c:v>19800913</c:v>
                </c:pt>
                <c:pt idx="9">
                  <c:v>44139127</c:v>
                </c:pt>
                <c:pt idx="10">
                  <c:v>59664398</c:v>
                </c:pt>
                <c:pt idx="11">
                  <c:v>78327034.5</c:v>
                </c:pt>
              </c:numCache>
            </c:numRef>
          </c:val>
          <c:smooth val="0"/>
          <c:extLst>
            <c:ext xmlns:c16="http://schemas.microsoft.com/office/drawing/2014/chart" uri="{C3380CC4-5D6E-409C-BE32-E72D297353CC}">
              <c16:uniqueId val="{00000000-7916-4C45-A7D4-64F680431EDE}"/>
            </c:ext>
          </c:extLst>
        </c:ser>
        <c:dLbls>
          <c:showLegendKey val="0"/>
          <c:showVal val="0"/>
          <c:showCatName val="0"/>
          <c:showSerName val="0"/>
          <c:showPercent val="0"/>
          <c:showBubbleSize val="0"/>
        </c:dLbls>
        <c:marker val="1"/>
        <c:smooth val="0"/>
        <c:axId val="170567407"/>
        <c:axId val="170580847"/>
      </c:lineChart>
      <c:catAx>
        <c:axId val="1705674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580847"/>
        <c:crosses val="autoZero"/>
        <c:auto val="1"/>
        <c:lblAlgn val="ctr"/>
        <c:lblOffset val="100"/>
        <c:noMultiLvlLbl val="0"/>
      </c:catAx>
      <c:valAx>
        <c:axId val="170580847"/>
        <c:scaling>
          <c:orientation val="minMax"/>
          <c:max val="80500000"/>
          <c:min val="500000"/>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567407"/>
        <c:crosses val="autoZero"/>
        <c:crossBetween val="between"/>
        <c:majorUnit val="8000000"/>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Dashboard.xlsm]Pivot Tables!PivotTable2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State Wise Living Cost and Index</a:t>
            </a:r>
          </a:p>
        </c:rich>
      </c:tx>
      <c:layout>
        <c:manualLayout>
          <c:xMode val="edge"/>
          <c:yMode val="edge"/>
          <c:x val="0.34810045660602362"/>
          <c:y val="5.050503042033308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spPr>
          <a:ln w="34925" cap="rnd">
            <a:solidFill>
              <a:schemeClr val="accent4">
                <a:alpha val="99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6">
                <a:lumMod val="60000"/>
                <a:lumOff val="40000"/>
                <a:alpha val="99000"/>
              </a:schemeClr>
            </a:solidFill>
            <a:ln w="9525">
              <a:solidFill>
                <a:schemeClr val="accent6">
                  <a:lumMod val="75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Tables'!$F$27</c:f>
              <c:strCache>
                <c:ptCount val="1"/>
                <c:pt idx="0">
                  <c:v> Average Monthly Cost (USD)</c:v>
                </c:pt>
              </c:strCache>
            </c:strRef>
          </c:tx>
          <c:spPr>
            <a:ln w="34925" cap="rnd">
              <a:solidFill>
                <a:schemeClr val="accent4">
                  <a:alpha val="99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Tables'!$E$28:$E$43</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Pittsburgh</c:v>
                </c:pt>
                <c:pt idx="11">
                  <c:v>San Francisco</c:v>
                </c:pt>
                <c:pt idx="12">
                  <c:v>Seattle</c:v>
                </c:pt>
                <c:pt idx="13">
                  <c:v>Tampa</c:v>
                </c:pt>
                <c:pt idx="14">
                  <c:v>Washington, D.C.</c:v>
                </c:pt>
              </c:strCache>
            </c:strRef>
          </c:cat>
          <c:val>
            <c:numRef>
              <c:f>'Pivot Tables'!$F$28:$F$43</c:f>
              <c:numCache>
                <c:formatCode>"$"#,##0</c:formatCode>
                <c:ptCount val="15"/>
                <c:pt idx="0">
                  <c:v>2473</c:v>
                </c:pt>
                <c:pt idx="1">
                  <c:v>3467</c:v>
                </c:pt>
                <c:pt idx="2">
                  <c:v>2667</c:v>
                </c:pt>
                <c:pt idx="3">
                  <c:v>2550</c:v>
                </c:pt>
                <c:pt idx="4">
                  <c:v>2699</c:v>
                </c:pt>
                <c:pt idx="5">
                  <c:v>2006</c:v>
                </c:pt>
                <c:pt idx="6">
                  <c:v>2246</c:v>
                </c:pt>
                <c:pt idx="7">
                  <c:v>3187</c:v>
                </c:pt>
                <c:pt idx="8">
                  <c:v>3103</c:v>
                </c:pt>
                <c:pt idx="9">
                  <c:v>4051</c:v>
                </c:pt>
                <c:pt idx="10">
                  <c:v>2223</c:v>
                </c:pt>
                <c:pt idx="11">
                  <c:v>3781</c:v>
                </c:pt>
                <c:pt idx="12">
                  <c:v>2908</c:v>
                </c:pt>
                <c:pt idx="13">
                  <c:v>2518</c:v>
                </c:pt>
                <c:pt idx="14">
                  <c:v>3139</c:v>
                </c:pt>
              </c:numCache>
            </c:numRef>
          </c:val>
          <c:smooth val="0"/>
          <c:extLst>
            <c:ext xmlns:c16="http://schemas.microsoft.com/office/drawing/2014/chart" uri="{C3380CC4-5D6E-409C-BE32-E72D297353CC}">
              <c16:uniqueId val="{00000000-C33F-4108-A2A5-36C76C83003F}"/>
            </c:ext>
          </c:extLst>
        </c:ser>
        <c:dLbls>
          <c:showLegendKey val="0"/>
          <c:showVal val="0"/>
          <c:showCatName val="0"/>
          <c:showSerName val="0"/>
          <c:showPercent val="0"/>
          <c:showBubbleSize val="0"/>
        </c:dLbls>
        <c:marker val="1"/>
        <c:smooth val="0"/>
        <c:axId val="1629213471"/>
        <c:axId val="1629212031"/>
      </c:lineChart>
      <c:lineChart>
        <c:grouping val="standard"/>
        <c:varyColors val="0"/>
        <c:ser>
          <c:idx val="1"/>
          <c:order val="1"/>
          <c:tx>
            <c:strRef>
              <c:f>'Pivot Tables'!$G$27</c:f>
              <c:strCache>
                <c:ptCount val="1"/>
                <c:pt idx="0">
                  <c:v> Cost of Living Index</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6">
                  <a:lumMod val="60000"/>
                  <a:lumOff val="40000"/>
                  <a:alpha val="99000"/>
                </a:schemeClr>
              </a:solidFill>
              <a:ln w="9525">
                <a:solidFill>
                  <a:schemeClr val="accent6">
                    <a:lumMod val="75000"/>
                  </a:schemeClr>
                </a:solidFill>
                <a:round/>
              </a:ln>
              <a:effectLst>
                <a:outerShdw blurRad="57150" dist="19050" dir="5400000" algn="ctr" rotWithShape="0">
                  <a:srgbClr val="000000">
                    <a:alpha val="63000"/>
                  </a:srgbClr>
                </a:outerShdw>
              </a:effectLst>
            </c:spPr>
          </c:marker>
          <c:cat>
            <c:strRef>
              <c:f>'Pivot Tables'!$E$28:$E$43</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Pittsburgh</c:v>
                </c:pt>
                <c:pt idx="11">
                  <c:v>San Francisco</c:v>
                </c:pt>
                <c:pt idx="12">
                  <c:v>Seattle</c:v>
                </c:pt>
                <c:pt idx="13">
                  <c:v>Tampa</c:v>
                </c:pt>
                <c:pt idx="14">
                  <c:v>Washington, D.C.</c:v>
                </c:pt>
              </c:strCache>
            </c:strRef>
          </c:cat>
          <c:val>
            <c:numRef>
              <c:f>'Pivot Tables'!$G$28:$G$43</c:f>
              <c:numCache>
                <c:formatCode>General</c:formatCode>
                <c:ptCount val="15"/>
                <c:pt idx="0">
                  <c:v>73.2</c:v>
                </c:pt>
                <c:pt idx="1">
                  <c:v>84.6</c:v>
                </c:pt>
                <c:pt idx="2">
                  <c:v>79</c:v>
                </c:pt>
                <c:pt idx="3">
                  <c:v>77.099999999999994</c:v>
                </c:pt>
                <c:pt idx="4">
                  <c:v>81.7</c:v>
                </c:pt>
                <c:pt idx="5">
                  <c:v>74</c:v>
                </c:pt>
                <c:pt idx="6">
                  <c:v>72.7</c:v>
                </c:pt>
                <c:pt idx="7">
                  <c:v>78.7</c:v>
                </c:pt>
                <c:pt idx="8">
                  <c:v>81.900000000000006</c:v>
                </c:pt>
                <c:pt idx="9">
                  <c:v>100</c:v>
                </c:pt>
                <c:pt idx="10">
                  <c:v>77.8</c:v>
                </c:pt>
                <c:pt idx="11">
                  <c:v>99.6</c:v>
                </c:pt>
                <c:pt idx="12">
                  <c:v>92.9</c:v>
                </c:pt>
                <c:pt idx="13">
                  <c:v>76.3</c:v>
                </c:pt>
                <c:pt idx="14">
                  <c:v>83.8</c:v>
                </c:pt>
              </c:numCache>
            </c:numRef>
          </c:val>
          <c:smooth val="0"/>
          <c:extLst>
            <c:ext xmlns:c16="http://schemas.microsoft.com/office/drawing/2014/chart" uri="{C3380CC4-5D6E-409C-BE32-E72D297353CC}">
              <c16:uniqueId val="{00000001-C33F-4108-A2A5-36C76C83003F}"/>
            </c:ext>
          </c:extLst>
        </c:ser>
        <c:dLbls>
          <c:showLegendKey val="0"/>
          <c:showVal val="0"/>
          <c:showCatName val="0"/>
          <c:showSerName val="0"/>
          <c:showPercent val="0"/>
          <c:showBubbleSize val="0"/>
        </c:dLbls>
        <c:marker val="1"/>
        <c:smooth val="0"/>
        <c:axId val="1629210591"/>
        <c:axId val="1629214431"/>
      </c:lineChart>
      <c:catAx>
        <c:axId val="16292134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9212031"/>
        <c:crosses val="autoZero"/>
        <c:auto val="1"/>
        <c:lblAlgn val="ctr"/>
        <c:lblOffset val="100"/>
        <c:noMultiLvlLbl val="0"/>
      </c:catAx>
      <c:valAx>
        <c:axId val="1629212031"/>
        <c:scaling>
          <c:orientation val="minMax"/>
          <c:min val="1500"/>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9213471"/>
        <c:crosses val="autoZero"/>
        <c:crossBetween val="between"/>
      </c:valAx>
      <c:valAx>
        <c:axId val="1629214431"/>
        <c:scaling>
          <c:orientation val="minMax"/>
          <c:max val="100"/>
          <c:min val="50"/>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9210591"/>
        <c:crosses val="max"/>
        <c:crossBetween val="between"/>
      </c:valAx>
      <c:catAx>
        <c:axId val="1629210591"/>
        <c:scaling>
          <c:orientation val="minMax"/>
        </c:scaling>
        <c:delete val="1"/>
        <c:axPos val="b"/>
        <c:numFmt formatCode="General" sourceLinked="1"/>
        <c:majorTickMark val="none"/>
        <c:minorTickMark val="none"/>
        <c:tickLblPos val="nextTo"/>
        <c:crossAx val="16292144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Dashboard.xlsm]Pivot Tables!Snowfall</c:name>
    <c:fmtId val="3"/>
  </c:pivotSource>
  <c:chart>
    <c:title>
      <c:tx>
        <c:rich>
          <a:bodyPr rot="0" spcFirstLastPara="1" vertOverflow="ellipsis" vert="horz" wrap="square" anchor="ctr" anchorCtr="1"/>
          <a:lstStyle/>
          <a:p>
            <a:pPr>
              <a:defRPr lang="en-US" sz="1800" b="0" i="0" u="none" strike="noStrike" kern="1200" spc="100" baseline="0">
                <a:solidFill>
                  <a:sysClr val="windowText" lastClr="000000">
                    <a:lumMod val="65000"/>
                    <a:lumOff val="35000"/>
                  </a:sysClr>
                </a:solidFill>
                <a:effectLst>
                  <a:outerShdw blurRad="50800" dist="38100" dir="5400000" algn="t" rotWithShape="0">
                    <a:prstClr val="black">
                      <a:alpha val="40000"/>
                    </a:prstClr>
                  </a:outerShdw>
                </a:effectLst>
                <a:latin typeface="Calibri" panose="020F0502020204030204"/>
                <a:ea typeface="Calibri" panose="020F0502020204030204" pitchFamily="34" charset="0"/>
                <a:cs typeface="Calibri" panose="020F0502020204030204" pitchFamily="34" charset="0"/>
              </a:defRPr>
            </a:pPr>
            <a:r>
              <a:rPr lang="en-US" sz="1800" b="1" i="0" u="sng" strike="noStrike" baseline="0" dirty="0">
                <a:solidFill>
                  <a:schemeClr val="bg1">
                    <a:lumMod val="95000"/>
                  </a:schemeClr>
                </a:solidFill>
                <a:latin typeface="Calibri" panose="020F0502020204030204"/>
                <a:ea typeface="Calibri" panose="020F0502020204030204" pitchFamily="34" charset="0"/>
                <a:cs typeface="Calibri" panose="020F0502020204030204" pitchFamily="34" charset="0"/>
              </a:rPr>
              <a:t>Winter Trends: Snowfall and Snow Days Across U.S. Cities</a:t>
            </a:r>
          </a:p>
        </c:rich>
      </c:tx>
      <c:overlay val="0"/>
      <c:spPr>
        <a:noFill/>
        <a:ln>
          <a:noFill/>
        </a:ln>
        <a:effectLst/>
      </c:spPr>
      <c:txPr>
        <a:bodyPr rot="0" spcFirstLastPara="1" vertOverflow="ellipsis" vert="horz" wrap="square" anchor="ctr" anchorCtr="1"/>
        <a:lstStyle/>
        <a:p>
          <a:pPr>
            <a:defRPr lang="en-US" sz="1800" b="0" i="0" u="none" strike="noStrike" kern="1200" spc="100" baseline="0">
              <a:solidFill>
                <a:sysClr val="windowText" lastClr="000000">
                  <a:lumMod val="65000"/>
                  <a:lumOff val="35000"/>
                </a:sysClr>
              </a:solidFill>
              <a:effectLst>
                <a:outerShdw blurRad="50800" dist="38100" dir="5400000" algn="t" rotWithShape="0">
                  <a:prstClr val="black">
                    <a:alpha val="40000"/>
                  </a:prstClr>
                </a:outerShdw>
              </a:effectLst>
              <a:latin typeface="Calibri" panose="020F0502020204030204"/>
              <a:ea typeface="Calibri" panose="020F0502020204030204" pitchFamily="34" charset="0"/>
              <a:cs typeface="Calibri" panose="020F050202020403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Tables'!$F$5</c:f>
              <c:strCache>
                <c:ptCount val="1"/>
                <c:pt idx="0">
                  <c:v>Average Snowfall (in Inches)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Tables'!$D$6:$D$21</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c:v>
                </c:pt>
                <c:pt idx="11">
                  <c:v>San Francisco</c:v>
                </c:pt>
                <c:pt idx="12">
                  <c:v>Seattle</c:v>
                </c:pt>
                <c:pt idx="13">
                  <c:v>Tampa</c:v>
                </c:pt>
                <c:pt idx="14">
                  <c:v>Washington</c:v>
                </c:pt>
              </c:strCache>
            </c:strRef>
          </c:cat>
          <c:val>
            <c:numRef>
              <c:f>'Pivot Tables'!$F$6:$F$21</c:f>
              <c:numCache>
                <c:formatCode>General</c:formatCode>
                <c:ptCount val="15"/>
                <c:pt idx="0">
                  <c:v>0.2</c:v>
                </c:pt>
                <c:pt idx="1">
                  <c:v>49.2</c:v>
                </c:pt>
                <c:pt idx="2">
                  <c:v>38.799999999999997</c:v>
                </c:pt>
                <c:pt idx="3">
                  <c:v>1.7</c:v>
                </c:pt>
                <c:pt idx="4">
                  <c:v>49</c:v>
                </c:pt>
                <c:pt idx="5">
                  <c:v>45</c:v>
                </c:pt>
                <c:pt idx="6">
                  <c:v>0.2</c:v>
                </c:pt>
                <c:pt idx="7">
                  <c:v>0</c:v>
                </c:pt>
                <c:pt idx="8">
                  <c:v>0</c:v>
                </c:pt>
                <c:pt idx="9">
                  <c:v>29.8</c:v>
                </c:pt>
                <c:pt idx="10">
                  <c:v>44.1</c:v>
                </c:pt>
                <c:pt idx="11">
                  <c:v>0</c:v>
                </c:pt>
                <c:pt idx="12">
                  <c:v>6.3</c:v>
                </c:pt>
                <c:pt idx="13">
                  <c:v>0</c:v>
                </c:pt>
                <c:pt idx="14">
                  <c:v>13.7</c:v>
                </c:pt>
              </c:numCache>
            </c:numRef>
          </c:val>
          <c:extLst>
            <c:ext xmlns:c16="http://schemas.microsoft.com/office/drawing/2014/chart" uri="{C3380CC4-5D6E-409C-BE32-E72D297353CC}">
              <c16:uniqueId val="{00000000-D85D-4325-8ABD-2A4D68627A15}"/>
            </c:ext>
          </c:extLst>
        </c:ser>
        <c:dLbls>
          <c:showLegendKey val="0"/>
          <c:showVal val="0"/>
          <c:showCatName val="0"/>
          <c:showSerName val="0"/>
          <c:showPercent val="0"/>
          <c:showBubbleSize val="0"/>
        </c:dLbls>
        <c:gapWidth val="269"/>
        <c:axId val="910459248"/>
        <c:axId val="910463568"/>
      </c:barChart>
      <c:lineChart>
        <c:grouping val="standard"/>
        <c:varyColors val="0"/>
        <c:ser>
          <c:idx val="0"/>
          <c:order val="0"/>
          <c:tx>
            <c:strRef>
              <c:f>'Pivot Tables'!$E$5</c:f>
              <c:strCache>
                <c:ptCount val="1"/>
                <c:pt idx="0">
                  <c:v>Avg Snowy Days</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Tables'!$D$6:$D$21</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c:v>
                </c:pt>
                <c:pt idx="11">
                  <c:v>San Francisco</c:v>
                </c:pt>
                <c:pt idx="12">
                  <c:v>Seattle</c:v>
                </c:pt>
                <c:pt idx="13">
                  <c:v>Tampa</c:v>
                </c:pt>
                <c:pt idx="14">
                  <c:v>Washington</c:v>
                </c:pt>
              </c:strCache>
            </c:strRef>
          </c:cat>
          <c:val>
            <c:numRef>
              <c:f>'Pivot Tables'!$E$6:$E$21</c:f>
              <c:numCache>
                <c:formatCode>General</c:formatCode>
                <c:ptCount val="15"/>
                <c:pt idx="0">
                  <c:v>0.6</c:v>
                </c:pt>
                <c:pt idx="1">
                  <c:v>23</c:v>
                </c:pt>
                <c:pt idx="2">
                  <c:v>28.2</c:v>
                </c:pt>
                <c:pt idx="3">
                  <c:v>1.5</c:v>
                </c:pt>
                <c:pt idx="4">
                  <c:v>31.4</c:v>
                </c:pt>
                <c:pt idx="5">
                  <c:v>37.6</c:v>
                </c:pt>
                <c:pt idx="6">
                  <c:v>0.2</c:v>
                </c:pt>
                <c:pt idx="7">
                  <c:v>0</c:v>
                </c:pt>
                <c:pt idx="8">
                  <c:v>0</c:v>
                </c:pt>
                <c:pt idx="9">
                  <c:v>11.4</c:v>
                </c:pt>
                <c:pt idx="10">
                  <c:v>40.200000000000003</c:v>
                </c:pt>
                <c:pt idx="11">
                  <c:v>0</c:v>
                </c:pt>
                <c:pt idx="12">
                  <c:v>4.7</c:v>
                </c:pt>
                <c:pt idx="13">
                  <c:v>0</c:v>
                </c:pt>
                <c:pt idx="14">
                  <c:v>8</c:v>
                </c:pt>
              </c:numCache>
            </c:numRef>
          </c:val>
          <c:smooth val="0"/>
          <c:extLst>
            <c:ext xmlns:c16="http://schemas.microsoft.com/office/drawing/2014/chart" uri="{C3380CC4-5D6E-409C-BE32-E72D297353CC}">
              <c16:uniqueId val="{00000001-D85D-4325-8ABD-2A4D68627A15}"/>
            </c:ext>
          </c:extLst>
        </c:ser>
        <c:dLbls>
          <c:showLegendKey val="0"/>
          <c:showVal val="0"/>
          <c:showCatName val="0"/>
          <c:showSerName val="0"/>
          <c:showPercent val="0"/>
          <c:showBubbleSize val="0"/>
        </c:dLbls>
        <c:marker val="1"/>
        <c:smooth val="0"/>
        <c:axId val="910459248"/>
        <c:axId val="910463568"/>
      </c:lineChart>
      <c:catAx>
        <c:axId val="9104592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910463568"/>
        <c:crosses val="autoZero"/>
        <c:auto val="1"/>
        <c:lblAlgn val="ctr"/>
        <c:lblOffset val="100"/>
        <c:noMultiLvlLbl val="0"/>
      </c:catAx>
      <c:valAx>
        <c:axId val="910463568"/>
        <c:scaling>
          <c:orientation val="minMax"/>
          <c:max val="5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910459248"/>
        <c:crosses val="autoZero"/>
        <c:crossBetween val="between"/>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lgn="ctr" rtl="0">
              <a:defRPr lang="en-US" sz="1800" b="0" i="0" u="none" strike="noStrike" kern="1200" spc="100" baseline="0">
                <a:solidFill>
                  <a:sysClr val="windowText" lastClr="000000">
                    <a:lumMod val="65000"/>
                    <a:lumOff val="35000"/>
                  </a:sysClr>
                </a:solidFill>
                <a:effectLst>
                  <a:outerShdw blurRad="50800" dist="38100" dir="5400000" algn="t" rotWithShape="0">
                    <a:prstClr val="black">
                      <a:alpha val="40000"/>
                    </a:prstClr>
                  </a:outerShdw>
                </a:effectLst>
                <a:latin typeface="Calibri" panose="020F0502020204030204"/>
                <a:ea typeface="Calibri" panose="020F0502020204030204" pitchFamily="34" charset="0"/>
                <a:cs typeface="Calibri" panose="020F0502020204030204" pitchFamily="34" charset="0"/>
              </a:defRPr>
            </a:pPr>
            <a:r>
              <a:rPr lang="en-US" b="1" u="sng">
                <a:solidFill>
                  <a:schemeClr val="bg1">
                    <a:lumMod val="95000"/>
                  </a:schemeClr>
                </a:solidFill>
              </a:rPr>
              <a:t>Average Water Quality Violations (ppm)</a:t>
            </a:r>
          </a:p>
        </c:rich>
      </c:tx>
      <c:overlay val="0"/>
      <c:spPr>
        <a:noFill/>
        <a:ln>
          <a:noFill/>
        </a:ln>
        <a:effectLst/>
      </c:spPr>
      <c:txPr>
        <a:bodyPr rot="0" spcFirstLastPara="1" vertOverflow="ellipsis" vert="horz" wrap="square" anchor="ctr" anchorCtr="1"/>
        <a:lstStyle/>
        <a:p>
          <a:pPr algn="ctr" rtl="0">
            <a:defRPr lang="en-US" sz="1800" b="0" i="0" u="none" strike="noStrike" kern="1200" spc="100" baseline="0">
              <a:solidFill>
                <a:sysClr val="windowText" lastClr="000000">
                  <a:lumMod val="65000"/>
                  <a:lumOff val="35000"/>
                </a:sysClr>
              </a:solidFill>
              <a:effectLst>
                <a:outerShdw blurRad="50800" dist="38100" dir="5400000" algn="t" rotWithShape="0">
                  <a:prstClr val="black">
                    <a:alpha val="40000"/>
                  </a:prstClr>
                </a:outerShdw>
              </a:effectLst>
              <a:latin typeface="Calibri" panose="020F0502020204030204"/>
              <a:ea typeface="Calibri" panose="020F0502020204030204" pitchFamily="34" charset="0"/>
              <a:cs typeface="Calibri" panose="020F0502020204030204" pitchFamily="34" charset="0"/>
            </a:defRPr>
          </a:pPr>
          <a:endParaRPr lang="en-US"/>
        </a:p>
      </c:txPr>
    </c:title>
    <c:autoTitleDeleted val="0"/>
    <c:plotArea>
      <c:layout/>
      <c:lineChart>
        <c:grouping val="standard"/>
        <c:varyColors val="0"/>
        <c:ser>
          <c:idx val="0"/>
          <c:order val="0"/>
          <c:tx>
            <c:strRef>
              <c:f>'Data Table2'!$D$1</c:f>
              <c:strCache>
                <c:ptCount val="1"/>
                <c:pt idx="0">
                  <c:v>Average Water Quality Violations (ppm)</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extLst>
                <c:ext xmlns:c15="http://schemas.microsoft.com/office/drawing/2012/chart" uri="{02D57815-91ED-43cb-92C2-25804820EDAC}">
                  <c15:fullRef>
                    <c15:sqref>'Data Table2'!$B$2:$C$16</c15:sqref>
                  </c15:fullRef>
                  <c15:levelRef>
                    <c15:sqref>'Data Table2'!$B$2:$B$16</c15:sqref>
                  </c15:levelRef>
                </c:ext>
              </c:extLst>
              <c:f>'Data Table2'!$B$2:$B$16</c:f>
              <c:strCache>
                <c:ptCount val="15"/>
                <c:pt idx="0">
                  <c:v>Austin</c:v>
                </c:pt>
                <c:pt idx="1">
                  <c:v>Boston</c:v>
                </c:pt>
                <c:pt idx="2">
                  <c:v>Chicago</c:v>
                </c:pt>
                <c:pt idx="3">
                  <c:v>Dallas</c:v>
                </c:pt>
                <c:pt idx="4">
                  <c:v>Denver</c:v>
                </c:pt>
                <c:pt idx="5">
                  <c:v>Detroit</c:v>
                </c:pt>
                <c:pt idx="6">
                  <c:v>Las Vegas</c:v>
                </c:pt>
                <c:pt idx="7">
                  <c:v>Los Angeles</c:v>
                </c:pt>
                <c:pt idx="8">
                  <c:v>Miami</c:v>
                </c:pt>
                <c:pt idx="9">
                  <c:v>New York</c:v>
                </c:pt>
                <c:pt idx="10">
                  <c:v>Pittsburgh</c:v>
                </c:pt>
                <c:pt idx="11">
                  <c:v>San Francisco</c:v>
                </c:pt>
                <c:pt idx="12">
                  <c:v>Seattle</c:v>
                </c:pt>
                <c:pt idx="13">
                  <c:v>Tampa</c:v>
                </c:pt>
                <c:pt idx="14">
                  <c:v>Washington</c:v>
                </c:pt>
              </c:strCache>
            </c:strRef>
          </c:cat>
          <c:val>
            <c:numRef>
              <c:f>'Data Table2'!$D$2:$D$16</c:f>
              <c:numCache>
                <c:formatCode>General</c:formatCode>
                <c:ptCount val="15"/>
                <c:pt idx="0" formatCode="#,##0">
                  <c:v>1190</c:v>
                </c:pt>
                <c:pt idx="1">
                  <c:v>622</c:v>
                </c:pt>
                <c:pt idx="2" formatCode="#,##0">
                  <c:v>3885</c:v>
                </c:pt>
                <c:pt idx="3" formatCode="#,##0">
                  <c:v>1398</c:v>
                </c:pt>
                <c:pt idx="4">
                  <c:v>925</c:v>
                </c:pt>
                <c:pt idx="5" formatCode="#,##0">
                  <c:v>4508</c:v>
                </c:pt>
                <c:pt idx="6">
                  <c:v>657</c:v>
                </c:pt>
                <c:pt idx="7" formatCode="#,##0">
                  <c:v>5206</c:v>
                </c:pt>
                <c:pt idx="8" formatCode="#,##0">
                  <c:v>2488</c:v>
                </c:pt>
                <c:pt idx="9" formatCode="#,##0">
                  <c:v>6192</c:v>
                </c:pt>
                <c:pt idx="10" formatCode="#,##0">
                  <c:v>11012</c:v>
                </c:pt>
                <c:pt idx="11" formatCode="#,##0">
                  <c:v>5492</c:v>
                </c:pt>
                <c:pt idx="12" formatCode="#,##0">
                  <c:v>1865</c:v>
                </c:pt>
                <c:pt idx="13" formatCode="#,##0">
                  <c:v>2598</c:v>
                </c:pt>
                <c:pt idx="14" formatCode="#,##0">
                  <c:v>1121</c:v>
                </c:pt>
              </c:numCache>
            </c:numRef>
          </c:val>
          <c:smooth val="0"/>
          <c:extLst>
            <c:ext xmlns:c16="http://schemas.microsoft.com/office/drawing/2014/chart" uri="{C3380CC4-5D6E-409C-BE32-E72D297353CC}">
              <c16:uniqueId val="{00000000-4FB9-4E6F-BEFC-1A5D10ABAB83}"/>
            </c:ext>
          </c:extLst>
        </c:ser>
        <c:dLbls>
          <c:showLegendKey val="0"/>
          <c:showVal val="0"/>
          <c:showCatName val="0"/>
          <c:showSerName val="0"/>
          <c:showPercent val="0"/>
          <c:showBubbleSize val="0"/>
        </c:dLbls>
        <c:smooth val="0"/>
        <c:axId val="1785980896"/>
        <c:axId val="1785983296"/>
      </c:lineChart>
      <c:catAx>
        <c:axId val="17859808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785983296"/>
        <c:crosses val="autoZero"/>
        <c:auto val="1"/>
        <c:lblAlgn val="ctr"/>
        <c:lblOffset val="100"/>
        <c:noMultiLvlLbl val="0"/>
      </c:catAx>
      <c:valAx>
        <c:axId val="1785983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785980896"/>
        <c:crosses val="autoZero"/>
        <c:crossBetween val="between"/>
      </c:valAx>
      <c:spPr>
        <a:noFill/>
        <a:ln>
          <a:noFill/>
        </a:ln>
        <a:effectLst/>
      </c:spPr>
    </c:plotArea>
    <c:plotVisOnly val="1"/>
    <c:dispBlanksAs val="gap"/>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cx:f>
      </cx:strDim>
      <cx:numDim type="size">
        <cx:f dir="row">_xlchart.v1.2</cx:f>
      </cx:numDim>
    </cx:data>
  </cx:chartData>
  <cx:chart>
    <cx:title pos="t" align="ctr" overlay="0">
      <cx:tx>
        <cx:txData>
          <cx:v>Average Tax (2019-23) - State Wise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Average Tax (2019-23) - State Wise</a:t>
          </a:r>
        </a:p>
      </cx:txPr>
    </cx:title>
    <cx:plotArea>
      <cx:plotAreaRegion>
        <cx:series layoutId="treemap" uniqueId="{02069E1D-9F2C-4435-95CC-479241E4E84C}">
          <cx:tx>
            <cx:txData>
              <cx:f>_xlchart.v1.0</cx:f>
              <cx:v>Average</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 idx="7">
              <cx:visibility seriesName="0" categoryName="1" value="0"/>
              <cx:separator>, </cx:separator>
            </cx:dataLabel>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Good Air Quality </cx:v>
        </cx:txData>
      </cx:tx>
      <cx:txPr>
        <a:bodyPr spcFirstLastPara="1" vertOverflow="ellipsis" horzOverflow="overflow" wrap="square" lIns="0" tIns="0" rIns="0" bIns="0" anchor="ctr" anchorCtr="1"/>
        <a:lstStyle/>
        <a:p>
          <a:pPr algn="ctr" rtl="0">
            <a:defRPr/>
          </a:pPr>
          <a:r>
            <a:rPr lang="en-US" sz="3200" b="1" i="0" u="sng" strike="noStrike" baseline="0">
              <a:solidFill>
                <a:schemeClr val="bg1">
                  <a:lumMod val="95000"/>
                </a:schemeClr>
              </a:solidFill>
              <a:latin typeface="Calibri" panose="020F0502020204030204"/>
            </a:rPr>
            <a:t>Good Air Quality </a:t>
          </a:r>
        </a:p>
      </cx:txPr>
    </cx:title>
    <cx:plotArea>
      <cx:plotAreaRegion>
        <cx:series layoutId="regionMap" uniqueId="{0C845D53-502F-4F36-94B0-FCA238984879}">
          <cx:tx>
            <cx:txData>
              <cx:f>_xlchart.v5.5</cx:f>
              <cx:v>Good Air Quality (%)</cx:v>
            </cx:txData>
          </cx:tx>
          <cx:dataLabels>
            <cx:visibility seriesName="0" categoryName="1" value="1"/>
            <cx:separator>, </cx:separator>
          </cx:dataLabels>
          <cx:dataId val="0"/>
          <cx:layoutPr>
            <cx:geography cultureLanguage="en-US" cultureRegion="US" attribution="Powered by Bing">
              <cx:geoCache provider="{E9337A44-BEBE-4D9F-B70C-5C5E7DAFC167}">
                <cx:binary>7Htpb9zIsuVfMfx5qM59ubj9gEmStai0e5HtL4RakpncyeSa/PUTsmy3pPZ1931zgZkGnmDAqmJl
ZWRERsSJE6F/3i7/uC3vb9yrpSrr/h+3y6+v7TC0//jll/7W3lc3/VGV3bqmbz4PR7dN9Uvz+XN2
e//LnbuZszr9hSDMfrm1N264X17/1z/h29L75qS5vRmypr4c752/uu/Hcuh/8uyHj17dNmM9PCxP
4Zt+ff2uzob7u1dvhpvhvn/96r4essG/9e39r6+fffL1q19eft8f9n5VgnjDeAdrqT7iiHLJqERf
fujrV2VTp18fB1ofIayooJrpLz/s295nNxWs/8tifRHq5u7O3ff9q6///2H5s5P84WnWN+GjUsLm
QfZ3b74c9pfnSv+vf754A47/4p0ndnmpqz97BKJXWR1l/eCy2wH/+vrbr6+az6/Cphyr37KbV990
9GifZ0v+XfuoI42YVJiC4p8aRkowjCBaUPVDw/xIrp+J9WP7/Phbnh0IVBC+/pPb+v+l5a5vegsu
PDT1z/Ty77kTk0cMY/AnJR+tIp9bDRN0xLlgCjH8xd3wt70f3emvyfRjWz1d+8JC1//7b2mhTdm4
7O7mm4r+772JqCOuOceE6ud2UeSIKUkZUfR7GHwMsY92+QuS/Ngo3xe+sMjm5G9pkbP7+dXHxhX/
wQjHyJGmmjBKyXfVPwt0/EjAEy7w1wwkvt2HR9N8E+nbuz+6JT+2ze8rXxjn7OPf1DjTzX/SWwAb
UIhVjFP0GMzUc6fBWBwJzqmSSv0omJ3d/5k8/8ouj+teWuX939Iqp9mtzdKb/2SSYUdKMqkBFfzQ
LoofSTAZZKCvz194zF+R6MeW+X3lC9uc7v+WttmXJYDr7AWefna2H0HMPwOJj5D/iwpfVgN/wI+A
GRt3c9f8LHz9exiEAmTUinPEvgZUwBhPAypG/IgDpARQ/23Tx0j6V0T58b34feUz3f36Ojz/W96L
05u+v7m1Y38/DH96OZ6XHz8rtiDVYUko+O5XlPHCMhIfCQTlGETU55b5y/L82Dwvlr+w0enfExxe
3Nd178vpps7+gwiRoSOlhdCPCQ2y2ksTySNFldJS/p4TnwLFvyrVjw31fPULO138Pe0U3pTZ58aB
lf6DoJHKI8IZ2AnrR9D4wkwY6yMBviYx+5oDnzvU70J9e/+vw8ana1+YKPx7mujt/XLzHwxzFB8x
oCWYwo817ksfAk6JAtoHHyLf8ctTH/pTcX7sPF+XvTDJ2w//bzLQv6acvmeI6Ga4ib/weE8Axc+f
fjk5YIoXS189qu9Hd/jro/0dcH1CE0gs3/nBhy/5+vgr++AbILfSby7xZM39TT/8+jrAiB0hTokU
CGoyDA72+tV8//gIY3gktaJUK2AT+etXdeMG++trxoGpQoQqwSQTSFMoI/pm/PIIAVTREq7JQ90N
eJZ851AvmtKnTf1dHV9fv6rH6qLJ6qGHL379qn381IOkHCnInZhRDfU9Y0xTEKG9vbmCE8GH8f9K
xhlnPOnms7G6S/sysuVvT7Txgw1AWT/dAHD10w3cQsuqXWADlQtjVWVGfZNNZ5kObXX38604aPL5
XlgpToGpoExzxhF6vpfHPS55yfBpzkuP8tZUAaFIeKMVKTr+qc+XVN3aJlED2qKW9MEKKI37rD5G
FHVpddd0jZLpeToyC8XCNnEp2npVj/eZQiqrTkbH+oAdkGjXfdnrPHFvVY78QbCgSd76btjkJOPH
/ZDji7xr8sz4POnqISQ1SY2ijg+GTCKYezNPVA8RL6vOFm86TdLJhYLVk2wiEKIaTCY86U09kmOH
2+ydX8rxUCbdKMN18uW8qaaspNVBDjyP+CLWM4ULPn8KGiRMEaRVZtRAXIgkZ/ScBbJdD/mgbfBm
RkHG6phOaaKDNhyKfFiSrSxd1m+fQvuv1n+8brdN612W2q+s/feX//W2qeDfFzr59zcfSP/fX0GJ
9Ngt+OmntvfNg8v1Lz/0EDW+fxcI8zWKPHjqsxd/CBv/IjA8r0T+m1GDIPDYn0QNCACv3mcuzZ4g
scfY8WXl19gBhLUkAlI2xZgTyh7CwNfYAeyb4ATChsAaMwgtT4IHOhIUwscDoQo5RTxEnK/BAzAA
1kpA3BBAkQMTrv+d4CHUQ3h4Ej4YFEQSK8alxEA1UfzCu1PP5rLOU7vvKzkeGlVzamrS9gfqKxaV
bGh6U4wUX/U4ML5KS4OyJYtKhOddYV2Qx0kyyo0btHujFXxG01K/z9RQbq0OUkOzUTeHZuHdZhTV
UIRLYfm+T1bpNmM+JmvIAzYLcHBecsMKLqJJ+yLibbXsuoQd16oYJ+N86kxaqfQdrnudmIm7JNQi
/6Dn+T3uy0QYlvT+3TpMawhH8ptsClA0sHy8TOcGHwMhnlmz1P0cD0lQTuEaJN0V9112AktwGzkk
p23bBJdZ0uZ9ZJd83jnaNafr7Guz9BRdr85Nh5wi/zZpPd1419sLonvRGb0+nLysiz4mlciiDOfl
Rkg+1cbOvnqTWs43hC5tmPfwWKIOHzTO3jVFw02qhulUMb9RUzmEQYeaKJ2aKTV9xoY3RZvLi6TB
9DJhFC2mEY7hTeNHOHGpgjXSY6KNkhOLSTthI3xXRiBzEdF+YCFrdGVIIKVJFno9FkW7w5k9kcyT
LR7tearWaYiIR6yM5GRJyPjMTF2mKzsZAjclpq/FYJRYB5NUw07P9fCO9T7PTZutOA4miFAs97Qy
rq852IOPJ6siuyFHH7Oc8GiEs8RFMrxPao+O9eze+cKzUHtUf3Jz7o+xbaWpvLIRL3yc4oFHZZ6m
Vz2raR1BOC1PVV51Z2VtK1B1WVlp2qoREOR7cVHQIIkCK6ePiUvIpYeYHfNULCd+be8HQlNvar+K
OOmy9GKd8/540aVxuaAhVXg5KUWRmBKLJBrrILnEdPiQ9k0d8kEWeytckh7mAZXT5aLTprtxadp/
QnM3fs7yCV+KquWHPO3om0KwPAp4PZ7wvu9EOEwVqGxuK3c6EvRpXth4FrQkiMmM7lldfZLz3PRh
xetuP+VsNGVG0bkvJe6jynn1UaV2fLsGYxPmU1LGokvKMVyrcax2iI083ySiqcuwrOf5k03XBkXY
j1kb90HXL6bIHTYrWDnmcqjirO4ndDk1axkWyKKTttOShgv2yeXUkouZ449rrz8iNxqHqI6dRFW7
0yJrdcik7dx26uHGoJSIa56ot2nS3iMyJt7ksmxjB72fHS+nSZ3bkrWm1ioLcyvILoWYcwXfkBpJ
e3vWd9lBCT3vF1xXPVxmZpdwTPuZnPa6X9OtShaXhqNrP1ZZ0I5XbvASROo3eTAmF9NYN8Z1RXvq
JzpF/SSWzYj01jNq90WxTt0lWYmqdmOCKx2q0eeHgqK8iLO+rUuzoIaf9pwmsaSN3dsqwXHXDrMR
Mggi3Ap1zVzluRnWQ41ksEuH3m4LVaYmESTY8MRPRiM/b2oG0CBdyuLDwqmPqrybDyqTG1YPlWkT
j0ejelaYwuX80jZVEbeimIyYbRWqqWBh3lXdcV7QNWrGsd1OrM/CCVfp6TzxGTSQr+vbrkR8zwfl
Thc0BO/nNLJjeRhRkUZV2belydJGxUtAq03eHoRfPpBkEVHjerJf1mSNOXzqUHLUnOKSdpnhLFic
6ZqOoIiPnMp9ISYFkcp1l1Q7+lZxZUMhWhVZju0c+nb12yRIGhnqsig+rrkeDVvkfOAM5wYCxKey
ULmx02gXA0jZbQg0NcyyTmflmvrPo10neCrlxvKUlUZm7bhdkv6WJaKLhLS6MFbUOGoIGvdJ5cuw
aRJ3kpXjJ0gsYjMP5bSr124GL02aYDVDO88irKpsuCU1ZJsYmKf+hFWJ3kwpfpNKoXY0qNAhQ7IN
Xa3ybSmDytjV7fpWIQNltIpr2fgQ18G0I65Ge+QlDhNd2L2Y2RILqdBBDDMyAPfVpm8RORkl1oel
llm8kPIqEasPZZ/K7dzqXpnEZZ/HzI+N8VIxU7UQe2c8lZGmpNt3GlerydOii9BCLxxuwqBZiA85
uOipbdPsLEOLCouyDUK/FjriJMPHfuiSzTx2h6WquhitS3/HG7eEadXOcV6W7clAaWpWALt7t+rf
lB6qfcrdXafTMR6L+beqYmOMsMfxOEK6wc7ulevT3TiXNKoSdTbh5Groa3pGK1IbNU78cmZZtXFB
f5b6/GpEfXA52/xiAb0eJwsn4I3lWSqrdbOIQkNqzFKOjJh6seFr7yJW6LQ2fBqH0LHFv2OF92Ye
Qa9X3Zil4njNBz+e+h6lTUwgczpDsoW2ZkDUp9awufEoFrVaUWwT3a5vqgzp4MPck8VHmZRqjTLe
kxBNRS1XsxS4LFksB4z9rsPpm6JoZB6t0wpQpi9KdjYV2MG14pgakud5YxB21b1v8MINGtfunDQk
sFGbu/WatuNyXTVoOZZQAhzGru63nQ/mIZwquYgQ+2I6RqKYIfSXNehgssPOV2iNcQURUxWBuPG5
yiPAc/nxhPRIDSeyulLrmB1XqOojSnkspZ43nqj0riNjsO2HmV/0XnWbWXV4Q92Q16aqIbwWHQUF
Fb5YNhal6XvmkzaSOVQXri16AB0VZbvMrWyK0MpHMzcjng1kt3U2DWvpwbVjZWOoI1rcG+JHrQxk
LrThPeQ2o7xVedjLMTNrUdpj3+M6jVbVT+MeWQ/1ii2CfdB1AoBfgsbCICjdzjEPxBA2w9plm4J3
Om6UXl1k6SiiIu3Qx57nFkdLjvJLZV13lescKiYtfBY2WPNtnyXLxikkdiu2y2S6YpmQQd7J3kjn
h+sSSugo6TU+qXJVcVOC8T+sNGMb0fMtHZKxM9k6jN6oeqawPkvCvqHTLs2CeTJB1qcxXYLqjHmR
pw8IqCvDShC1ZxlD10li8zBtUWLDdKSq2LQeKje4LgMKMzcMHyB4rzEFJR0ajX9jsijAsTmqDFg0
6UxZIL8Y7Qobz8OYe+NGTsJhEGsbMmGr87rrFQ5FYcd44Pa05XO70XM1nMyj5HthVevDmip+2Zdu
LOKe1+WW1cLFGox2rMa+m6KyZv5uSZT9pAFzvyNeyEPCbC3CzE/ypEcAzaIkxak+rYDACImXH4aK
9tc+KVIjUs42ZbCmIVk42jviVxf2eS4+0pZNc9ir1u0yKiEOlESflrn39yRI0nDoMnwD8TQ7zuYA
x75j4sM0Fb0PC1fJZBN0mVXRgFZi0qFyG18P9GrEDY25mGvTeFnEBcv0Vi/VGPNlmg6rnOYz36fz
VS8LZ/J6XsKcF8Q0RWtvfDcvnSFNwzY4awZhWty6uCPTEFbNkhmaDF0cCCs2ZELyDirx5aTtM6iX
u7V9085Y8hDief65GXD/Vteo/JBiVKYR97k+bnyaHGeyRMeoTbqNhPt6AKpAXNJ1mMMZtc2erAg2
WHlgsGRt7GuJAfsjEXOejGEjB1tAaK7qzSxavs3LoN4vCLB4q8v5beNKugmQi4e2y8+z1FmT59V0
lgMTeIAgMUXggOAsciIAWCDy0cJloQ26Ni6qXMSe4aoJi8l3pql68HXH8kObAUYpK9QBgBrKW1sI
vu5kaec460bxeRqa+U5Ui1VhW+rldCJkoZvZsWbzP/X/kyHCZ7TpMwaQIwJF97+u/9/fu6qphx+s
+Vb5Ax8sgRZ8KOSJ0MBqfa/8JT1ilEko4RkWCHMBOz2lDTkh6oHE/8oofqMNCVAJQP1Dsc4VtDOZ
/Hcq/xe0IXkYCAISEiQE2pIx9PD8CW2o8DSuWaP4Tql+MJW1CuBJR80TnXxlj56Sk8BuPGcXBIzw
YcGAINUINPHw/MkuyTh1hDZpshvzusYG0qEyakmaT/UwLReVkHRfrl3homYdWphP+W6PH+z9YK8/
bM4FEKQa1CZB2c83t6IsF1oovUuZboqNdP0cTQuGfTkqrnJMmptUV62GCjejUb/67H4JhrqOhRM0
Kh1ejR/zbDtMqgxpF3THY9HY817ldRDmZcLDwTuot9J0PR17mVxVopyj/8YhJPA8mGsEFK94oUHk
IB1Uw6p33bqQeGHNuqmCiu0zOft3HUVTmOBC0jio/BRitLQfZz2qiDepB/kyvVwICJcXTa+UQdOa
bbW262ZSRblf9FQA5zDjt1U2DhDG1wEQfVVnjxziYwf4B4b4A8UEl0ABXQXcrmISKPTndugZHUcv
Zw3Jpp2BZ1mhDpuc3z5E7J9r64GsekZmPeykYLKXQZ3CtXqhLD7hvmox7DTRFO0APYPxhOqO3UC7
S8TTKvz5fi+ciCnYTwNLxwhccQJI/vnJCO7rugpK2C/N3CVElB6weKphCu5nF/kH+mMPFD/MV1IF
HOIL/WkH4aKcA7VzZM62CrTWUp3til69/flG5Afuygn0JSQ4Hv1jUMhTTPQMd3BHVlzuV9mT2Gq4
M96D4XxFXWmwFVC2N0Nx5SeuTlqgTyKWQxFhx3o9VJx3l86LIIOCgPeQyDM0mQnTdZeWbXLclLXf
ZnA3302prH1IV8QCk+bz6gxLYZOlZSTGimS7noj+ehZrtvv5Ial60NezWwJt7i/jqkQC1aD5Q8Pj
aVAiQKRAMbjs5pxiU6XNvJdp0gPKdcWmKXpiBG0+L6ULgJAqnYHLm+/KKh83E26HTdE6d9YW2ZyZ
oaZRJ2p0jUmRnXHtGbA6VXXNOxE7PJM3WFcdkE1ziUMnkvItQYXe2BVmrYfJLu9sWpMIxtL9tkg3
OJ/STxDOip0YOAdyi/DdlDXNAbKL3VVtQmKaimwX1NpDMZNVsSUMb3vaqLcu4fk+D/IqqnFnB9Ol
ya2FxBNWfZHuWbtO522J585Mq2QnlerK7ZQIHrcTYdCzaMdQjKIpwwGnza5wTfEeasKw7IAyqSsf
nHPd+jvvfW9UaYc4LQa65QnLe6g0gDNci1ZEgVzZJbcUvW3HvrqWqS0+t9g2wEUh7X2ona0TqE8Q
NU1tlw9S1UUkK+J2XOtyn/t8OVk7Lc4FMArRoLJaG1pl8/k41N1vdV7yG9T1cbDoPLRJcR8UgToN
6jKIWJqlcSDdcVUJkFrgLi6I3i9TUJ81SZsYstTzYFLnAhPIGhpH+cmDPqOmzNsQOnuB6RsoT3BF
P3IrZiA4LNqnRVWdMGB63wVlMRB4itYzPAZJaTwQpTGC/BLm1Uy3pNFqP66M3rhE9BcApPt6P6BR
h53s6duCbWrbwo2YysKMHaU3TeeaTWFJENF2gY5aQ2r3rvY9YM1imcE0S276pUl3sx831tJLkgCS
htg27Yey8cYHy6CMs+SOOrC5E7i99K48zRJuQyh/imhKyzEaE8DathrG0CF03BKog1DKmMn1kr4B
0v80ScUnu3i0gz8OQVcJXn2cO3Hth+KGVHUdza7PwyAX+v0ApB+UpQ6fyGWcj2teaNNM6xJWCAiI
Me8CM0woMVIHFkLUOIe4qnMghpvlEKhUb4t+qUMfqORj0FoPwizJxhLgwWxBG+D0UDfB5ZpmGUEa
KjZZqkQd5XOWRWMqyNb1fXDga9MAKd2g0C3c30BFiS7HrJcKGF6uiEEkb8+BCAULQSOxO3iP2d7W
S7nDNEM72YC7iMA3qDC6I2sxAhdLrLHAb5p1sEm4oLy+dRNLP+QJHu+E7P0HOrn5uFJq2heTHsyU
tuzEoaDddkORhDxB037E4F+BL1ozlt6n1KBc9nhfZ1quXYQ7UcUVSiuzBOvyjk2o3lBE7B5ovDZm
ZQNcoB8TaJyM2RaLrj7JFmi61AhqfN7Ay7weizbKxNId6xYVkWhGvw2E6k3Xo2KT5JOHgsDNzRny
aRklLYACaDAi4xpSRC2pVJSlkDnwmigDLFsbo2kmMZzYHUsxkHh20C0gFrqg64D661XP7JyAo575
DHVjBNy9sAa1zXSPczdHukTrDhoA7tbKJd2IJpPvbTbUJzWX+G2AAF+UTWvPi2IGdDIB5GsaYNJE
qnOQrly6zozQOo8XoFGuypR1H/KcFlGB1jnKAsCFAW/9tiww3c+sg9I81eP7ZujLfQe8z90aWLQr
cwaxx8Ehuxbglyib5HjVDOTytD2jdk2OZe8gc80UiD1BeRHlTd3G2k1w8iKz5xpVM3CglMTdsJKY
cZaer7JNoN3FVlhDdNlfp0JwIKMpSFKMGm2naYAjBQKnZqASSmtovfKYasvPMQSGcK37bNsOZN2h
XJShlmNyDFiFh20itAEc6Y4n4BYNptZ/Bgw8vc8mB3G9IcAFw9hXaQDbQGMGVd02qQN+GFwTXHnY
wEZBCZl3TWQHYnvLP80Jdw+0tB2ugOiE34oU6HJEushJiz8gxQ99gfOtnLpm2+cECCHAi/TAF7Qd
OggK2I30bKId27S2W/ZVQUQ4lbndNDSxcVOPb3ESkHAeBiCOixlIqwxduKTWkylsOm1dO3m7BfXL
4hYaAJ09cX3VTXCboUc+LDVwM0APoMhR4pITnVS8hcgKLICpFWH2bJnJUq0wYwtg6WtL+Cva/J+G
9Zc/xHpafGImMUy2fseVfxhz2d/d2O/ztg+N6q8rvg25PEyyQFUK5Rq0EQVUpt/LVZh4OSKUYrh5
WqinMy7wZ3IIwSwaQEIOg2kPePtbsYphxoVrARMwHP74RCL67xSrUCY8x2wwYwPzGyAWFJIw3PaI
6Z5gtgLD2ASXiTjjlgX7NKmX7lBLD+2tQGHPZWoWUhW0Pl6QFuWbNWu5/g0TeW+blb8B+o7yEBiq
t0Lg5bqQQXaA5scyAK2oysS0tYAsrKED1kQBXf1wFZQk7YxN57l7h+ouCUz9OKxRaJixmMBN8jNJ
rO7M3JVqk/W23leJp6HMxy6sPE6juipZhLHiG5thQmLonFwWrR6A/kJzclLStj3pRzJsvZi6Y6Ld
fAeo+xOrBnXHdI8+lnMjAatk7SdXFQgas5XYC9rfQM6H+LMo63MjibOH1dtlB/GZbcBQwVmdB8kS
STkBY6ww9Mnd42yKbEdcTUD8lsMIlPucnwfWkuvJLydspG2EM+hP95lFV4BfmqsBuO9oGtB1yTP9
buGLP1/qhW5boq+XRYl4Qj5M6FRdsjzodmx05MxVlduPiiYhyrPspJoAW3Nhs1MdlDd66ICgbiEK
c+iFHbqq0NuyCabf+kIme59wuilqXN5XZebiNVf4HiaFVBeq3jU7TbL7cSTAj87Z8oFjBUxjmgGi
6VqVhl1Vqk+EAJHKZQ5tftVcV1l13QWwdd21q0F2hgbxEECwpnUTsyKTIW9lVRs514A8ymriGIYV
dPVGrgsTJkG23T/cyHcATMRG4QTGB5KxLHaSjNBJs1IOIP0EeCWYJrpFExU+astlHo0ocHrFClxc
ABJcz5PZotCurDuxlAS9gU4Ph11oEwM/w7YsL52HQSeavZlFX57wqvUn1gt6SjTJN8Im88XsOrep
+365HRQra4MRHcKxCNrPuu/z0aQzQJtK5vOJW5Nst/C6PxkStTZmEXN6Z0kZhGXb8p3FQ50CrdHK
A261bUw2SHQ2Q2feCKehMnc1QXXYiUnDXEI/vqeLHx8ShyebghadB4wks4ikdtoACOZhEVRBDsQl
0YepqgC3Di0b6xByjgO+eznJOhBKdqI9BoKlf5c6WVdmKoj93IxrEysF1bPMCnHieHAnVugkUWth
uACIaGGoC2YCvUQo3GlL243Mkb7OJl+YyclDm9TZBSAzuymhA/XbJHC5ga6ZuC26ZD1el2qCVuZk
xXZ2ATcOD/MH3TB6ERSJjKCqTzbj0Og0rIvZH5o5YEOoVNIcK+jutNAcC2zsR7JeSM6aGCqTGhqj
C1RuCyX7nhTuCrqzfAul+fieW95cZlltoR+eFAHA4DQ7BC31hldaQcdXw5FEA11yQ0oNXX8Jtdjq
Jh8DdMy3y5D4OJvV+m5ausVMM/SALIz+RVZ7MMnAklOr/g97Z7IeOW4u7Rv66QfgAIJbkjlKqVkl
lTZ41DWQBCcQ4ADi6k9Q3eVTXfbffbz3wl7YyomZBD5EvBHV6TsGy5QKrp8q2EwPGBiPugvc7TKR
JettfI4m3NaphFdyqkS7HPnC+jvZAjqgCwUUwBVfH2vTqEtrZv/J9wf5VhE65N4GQUyLXk58rUpx
6kgSP1o5+FkCRgHcCrm0sbcjXb/cY2DT16tUMsPiSW7MhK+7j7oy69oqwKIwJHkRLOTkBvqVLhG7
UeHQnXw6+6fWgFqpINJktlN+vX3JB+2LMheVegLftop09YPx0SXl+q0lSoHSiVfMmm14H68DgDhN
yxkGml9moB7rQzxZTMYCCznx3XhVlZN97hoS7gfVFRnjM7sQ23kYQLEQJUW55KJO+OegJ+URmkaT
ebYB7BCOq5dLE7HP2ATdEZE8D6MuzjR2KYNsZeH0XQqvvwmjqn8A3EEzFbbp2A/kvXBtsRvgQOZ+
P88HPhtPY9obys++K8Zr3TYPpu+nc5ngaIoDlLrym2K8c13U7xfL3R2hVXJrSl0P6QgcahcWTB/a
sK8y8EI8NzWHgRCX4bdi7ebdEtsvU1POWY01s8HMt5RQFiLvuvTCIe1hM70om1RZSJV7YHxJ8jHo
2eeJl7g3AqZyF/HmRKvaXrpy8rBgFUu6RFX4VjeAlXg8VDdUdN3BkZ6+L20R5nZ0z2LCku4vq3+M
ZqZggnkieqwqanNFHD+1SfPgCD1heiAwxUCZ7eCP4Qvu/CjJ42q+X1RdvHg2ajM5gftYWVfeycaA
rPKGYvlECobDTTDE54KXimMFFckR66aXmZFcm9gLHpyb7iYk+FNAEWAgcMGyCL+9J7n67Vn0FYhJ
Vh26hHbXzIFnw6n+oV4T/NQW3fM0COBshV3Bj5Vl0x7MVbMzwdRmhItrWav60DMDAIFInCYdqXKQ
O+EJN1S5n9q+OhRw+aAjNMPOctFew2TH8r2I5b2siDp4M2FXbjbxFxo3zW/aKO8mMvreBG306Hj4
TNbQ3NSJGK4XnEhOevTcgU/xtBuieH42bTmdI9a+S3jjp1LGxR6GZn+Yp7U+Tq6JGc6OhTlXvph2
YVWED6bo+js34FjDsXPNcJzuaaH8z97SLRi1g7lMAyrmF1pV3rFxcwTBo5JnoK2Y7uWQEZ/cglj6
ZD3QXoS3DQihAMf3Ym6eEl6owzTy4VbxkWbWqGBPBvGN1wWWwKLEAd8kKl1K0xxN37jrMgyXKxXV
xeucmCqNzdznyjVDHsK1+h4NzVMJNSHzaxk/1gJvYaT1mOH9rSmTwWXGqrpTJX0TBmJg24flrVT9
NSTP9WI3kEvQ8LkZ6u48yCDchYBODpUuk31la/Gmp9UeQlvpN+t1LMVZEW707M+neIFihzPT2wLK
CdBOS/cFnOE6LNodBMB3b4rWXK8BSWMu3TlJ1jSui+bKjlcxuCQ/DXu4eDifF1nJSZ+VJG6epce6
RwxV9VU3cGz1ERVxWi1AYG4hitJDEhfqBmfafcsCdeCW6MsShF3e2cg7lDJs96T0i+tYdlh2fDkd
CyGrCCu+ZHdDpOypDBu6t3zSOU7YUbaEy5uhWGv7WEfqsCzU3aolllkdaXrune72EV/s+8QFb1Iz
OAwptWFRWjfF0G0wYAgvwNkvXV2qNwaPgGDMfW+LROR4I9/bqR32su2SPls7T59AZfCslTXIJ6dr
lsUDPMqUhnV3Udavs6AO2W6ZgTxnXlh8FaP287BzC7Y0pqFXJMQ+1LW8xdwL94E0e8jJbk+Ewg66
CHp2WAcybMIqLyHkH0Xgke9I2gK4wuk3ncalz3s2FjtatTrF6KF3pqnvo9jVYDlguV8JYUg2dL48
EXzVbz0FzAItCUBXNymTFqupz9pMJitKz+TD0kxhOsQifh1KopM9hfsOboDcxwobUrqshbyhy0i/
WBU3t85aLAizD7tH1P5edK7p6CMMq0mKXMy87L9UUzsz8D1dk7RPsS3rOjyLiFf11Wh50j8t64yr
1o9frecBW+8wKUOnYNRBJmtoPGfdIqM8Sqo6zlfov7k3CrnJSqv9ppgqvy4J3iFmhOgVj+nfvGIR
AEVmdRIr0LiUztzmxPDqPM18uAwKf90b1n8OcOcF9ar3eEXvUifJAOUMyF4VR6pPC2W7r1oQeukr
y0/Mpw53MA5zN/HEnlxZqnTQEfsaNsqI1MVOXYkoWXaRS/SDbmEMStbqs9eq9p4sUCMgka9F2pfL
dAwbiJFYDdYcUx9E1RAjjL+YNi2KCmK23uCcJvKvSGfCsyYaIwDigDsoyTaPGGyFNPbweqRW/bOt
5vDFAIO3oF9VG6fAjv10IE2dEVy5hwXIRFY14/p5icRtITkuK4ED/miXpMhnWQADGSdHLqsq/EyO
xkB+gOSUmoizKRWF4rccu7BMMWlNJ2koZmSgge3ZtlI+FbwZP48YPXFmMvMNLLHisQXVBJsMF1u0
pTx4CURyID1teeOJedEQs+28Y5Mip1Wa4VGIlox51eNPJ5dEp9ro7mEsEuDLAx0+6VLTV6r48Nr1
xSfRxuQ69BW8BNcR7xj4Sk2gJwmkxJlcxbAnH2EUmC4XQnXxZbJleN+Vw3vsNMRk5SyAKehhLuML
wbZfuSJccEEEu62btXmRkLqfuVzEgcNiLLJ1ov4BR6HxudbT8nX2aJApPyyuTFuoHO+o20stcRNa
3blUw4gA2TJozDpDNfi5KKPlN/CVBBO/B3tH93a9G2Jel3mXNNWDBqyQksFpGA1y8neGgx/xY5dA
PgurU+mcvI7KuTq1QRLfNBFODmCq8GMi3m8N7x0MkVBEKaOwANJgxaJBgAS/1FgqoL/PC8mcjB2k
1t7lzaTEYfTn5qHb5qTA4XcFDGpM6UCKs4AhkylMvllVJf2xg56bSRzLepw/t0GWRvoa3CYIyo5E
2wpW7BJgKHGJnx1Y49d+XHh7S2tpgl2zMhzGBopdIJ17A+ZigglGFtCUzH311o4sdzTx5JGB88QT
zt76MnZW2Se3eBL7qzfiwDveAaULYh8gHhJ8CnKvtssVLonmfN8XQ8mywNAehNX/a8PZlOHo2RtX
WNCX8fDUNK399JP8829sWfqL2/eRHCLwSZEyIFB3os1N/UlTUYNdZBPQ5abwTJR7CaRw6s/4RtqT
xznAoje/DQ6z9M9BHe29UO+jku54LC5qcjvTjzt81EPiZF7DaP3rN/eL5/n7e9vSViGDc4yijD+/
t5bOQ0eEv9wopW9ihVlRHBE6+s9fhCI0BZgzhI376wWIkJrBoRdkUuWTdPsP85o9QKL9x8v8V5L8
m+SdH4L0/ekb+RdJ8lZ/Q9jtZxXzj4f8U5NkyFSi0AHcS4zg/uZX/wje+eE/IkRjEBcDXELwV/+L
0LB/+FtFFOgWsv2wt1zNz6pkEoJ6+RHL+09UycD/hTcAg4OqkDjyo03mxBr0izNfm8nVy5RUd7JO
AplgpCXYanRRs9tEqDC8D9mgzaFvSKf3QgDuiZAaq1hWCyhj9mYI4Nxh6hzq1IwVTNWHkjdeY18i
PnuQ/BiAu1TNXY1pbFtlxmYgX3EuXrD4xKBWeIbz8KYpgL7DRtDDUOPzoU/CYteWgzy3sqPfg6KD
zpOYgf/mbauiZbw4x/V2XOwLl9kxbh4wQ4oDMgQuD+DuwLmpekwqAZumdPChPqauUTpKXRB6zzEW
a76t2u22fnfbSs62Nb3aVne7rfPxHE1vmL7hqhCVYFnuWPmgP7YJs+0YQI9EAmNqafUuUPjE4I7d
yHdmaFSekLK8GkS9L+YK/kqxsN+qbcMC61/Km8i3Xo7JIL6tNMFWt1a2rGD5brBLXJaYfhNgLRgV
x2p9jKNx7HJ8E+urWHscNUkyT+lqRfGIajikZkwPUhLn+3I+VUxASF2sfQ1xro0OLLSwgLtg3iWs
hhdOqMQBIoYThiQDQJaXVVudFcUgTYbwTXv2TEf61Is4zPRWOIwZ9RJPadCE+ElIV/nbXlcal8vI
gJJmTbx+Br46sDt8Ep/gdDS3Ft4ahqKKTMHObIMStLXye7xNUOU2SyEQNO2XImB5NFTwd/syvh9c
aOGolMgE+OvY39fbnLb2oUhhItF7b5viurllZxHGq5fqbcoDsg4492P6+xgES0RkyxrDMxJc+6Hz
1HVYELleSDfBWjrDpl24yhKoipzvcCFClUFc69RdWA9lf3JdRXGKDKoV4HfJKwZmojXh9SKg50Iq
7UAGYViB8RDmrcPVu58MjpGpo3P82KquWvIYtr761Og5HmB6GoLZOGEi1QRbKvQnG5uc+cjlnCXC
Ack1U0X5tR3iFYGqJq7jtOFr613PUVWYTHDb3xiPV9dzN5ZXTHQL7OySqbQ2y7RbMe2tJ1vAQwMx
DOc9hbO26UHQzaAzIwhF05GuOPkurvDGIwH0ugekUd1VdqUuK4e5xPyjRYs7W2A7TAO1VmOu5WZ7
K6Hm+dq5ahpy3wuDrC/xbeZqbmeKEdbTiAGA4CiAZZHKZBoHsPhiXbvcNCYiB13HU14WSC3hFxd6
MNNiZDEaL65uvL5vILoK0ZQ4dhKmwe3y5dVHDd1hTOxQnENiHpwdpbtPJu+L55IO95THepvxCKbc
zdgHxu3HAUjAvpjW/hUkHgnBgE/lk0Nmqz8Ad9DdAf8jhPXE68bxiJVofQyHxIKSjdg4YPhufHZo
cIwFNiNFcAp6pb9DPX2OJsavA1i07hEC76yOS13S/qTFanOuPHoVGEMuTkj/PuwW3I8iTGS7k8U2
Sk2kA+U+yIOzAT9Lj8OS5otn7bWlS38VB6ZDUkbp+gCN1uwaWgjMdviu+n2hMIL4wC/uPbWSeR9M
ZZOzRPpXPcMxO+DSS3YeThNljrQRfVIurHISND6+Z6gB8jc9xPJdImHzDMJp/mwI8LSd7sMQ91po
59yTLti1lHnjCfGvMGuCSZodK02hr/AHyG5RT3kNDgVM4VDEuGvLM2LGOCRka4jzF0lh7oLQtxMr
M98wggME0wAFulnNR3BH8ALE2C7FmPZRO4UXWNUTSMkOyBAFUPBpXtxLiJ8wMsXGgu1OOuIfIe/F
9yyqaF5AP85HvxxOcdLFZAeEwt81XgTJq7eLfeigrNw0rT/Naavjll4giSHYODomD3zog9dhtK+F
tRD9R4ZUH6wg0fBsnslocBCRdrrg4EdvHALaD63spUZIZ7HFPbWz0H4qw2Z167EN4jGOQH1A1xXn
wWDVuAl5Tf87T/2fmgw4vM+/Gqfyb8378q6//TxQ/f6YH0gyOgnCBPYu/FXKEC3G0PTHPBWjPQuM
Jg7Bv2aR0YeGjLCP6FaAlPA2T/1znELnUhgi1wwXLEKHoP+fmbw0gV/9JzAPhCuDMATYkSccvPCv
45TEwkpdMhxXtpavoxw7lTMVQGbDAtlnNtZYuNSw3jU9aIZsk8HBMiZZJ4jay7nqJCYUR18FRJoy
7TroV1VClm92ZF7O8eQZF0Gdbvp7xz3shRPsVk/j8IjcJJb4xBwgBxY7bRFUSXERqyOghehRjkt3
baGD3zQyQliQTwBg4sGIMBMSuy2joHKmXljQZVicwdUMKcBwfWUHDdunDZoU0rc8LHhzPkwtpk6x
q8Sp9/T4gL0Aqoip3mQ8eK9V03pPUO4Q7h1sd5jg3O5UoYJUcQO2yRqet9bczwgORV6NDwlNAkwm
VlR/rfcJAmz5GgUeWO5uRFoTBJ4OYAmRZOzzjrhxFyG1u/eHUe1xTB8fytm/Z4HF8SceLzA0gnTy
/fuK8icxTxcqkO8qbfe4DI5e2wWySVMjJuNzCKmIWV73KxA5rl6RDAYFSEd7rtfiDTv3iQ39nDZB
cI/o0tsQzZh++h6Wkuc+101HcgWbL68xLCG/CVUS3lmGn+CTRexBxCiaqAXb3sKQsghPnQwwnmMX
k9ug9rz9ONf9Y2GS5hNy0OEnaoPuEHSNysA9BntGuU2xd8G/J+1349QdYXB1ROidx3Ad3oGB6ScY
8cglVsJHDFg1u4X76q5ZoiNMUyy80TjcAvLTr2HNn5iBFN9b0ETUrMU1E3W8c3FCj8nA+E43/Llx
yhvSMFieoV9gH257E2dxYdp7PxHTF48MuoOUSoL70W+Cm7YaEI4CegZtsC8Ht2vK7jHwqN0FutMl
nKTgASZ9sjdcdHC7IA2ILVQpq7lCvwemAoyKQ3LQQ6DqU6EohRW+9qmkEU9HmF79jU/tdFVgfMG8
CPfzOQ6X6ipsGXkL8cFzs45V1iKeXeURrmW/p1wLncLsJVfLOkTjqZckSiMckdfvXhc578CxZYjv
axIvl8bXQZkWXVjvGkxzECWbAmKLpI//PTj/X8InqDRJAMD8/1mercPz+N4qVPn+ebn/45E/1nvU
SGA9Rf7i93aJH2u9jzbeGNA4we4Qbwvt/56do38A/kHWAOdtKCMfoZUfZ2fUVQDk4UkAYg405X+2
2P8LOY+AYxAw1CWhBQcxv02b+kl7Cj1mi4HH7lh3QFYDh1nfZ8Wnny7Kv1G4fhGR0G2LF0FZBrIu
+JzoAfrzi4z97CmUBrrjVPtDijOEy9ETEGeqDsfdX78Uds4/bV3bS4W4LGABIDqgLOjPL9W3wg6y
AOZuZ1iUVQM/wPdhqNEebmkD2/LYUu0drItCVF2s/d+8/L9cTpQIIfSAUiFsx9DyNqHip8vpN45H
C/OHI5J1T34bv/DK5H/9Cben+DM1j5eI0KWUEHxv/q+bM9jpdSKCDseILk82Cj4hm9lnk0/jlLgB
Q8k/f87/5pv76P779eXQ5Ah1B/1JHOocJp+fP1FQDCGzgFuO4RIMZ7DYVGV94rXnOhLtuZnD51As
Q4vUwDCSNAp62cIZRgg1bSGaaMRvBZxIv6BJWkpen6YFYno293MyZLZpIAQbtP90qT9QtSD/lKAS
IvFPvmyD33y5HIrZjN+7kCPJoEfif1pheWbemkxtXnuIS5fDlOQB4OUc+5f9hJIgZNZZsaDxxI+x
huPI1D6xqCleqjWG/NJqFHgUfXQbjV39AMceDgSqBtKpGIubaUY4qmjhyfUcW15E0JYCkcSdal5c
JunhTNO230MINX0VfmGO34MLbWEO8vasiH0rZkghyRYm9CI8ZxtIl9fKDYd6iCpE4GkeGbl8g2eK
E4IsbxUSGjl0cb0LfYDlS7+wG4usVJZ4TJx9HDhij4qzBNWbDQZidTXP3wLmYX8G4JqvFPQb5rTi
aWRhk00c5kwyF3mMpBeQCTEfXdWInSS2vHQGAG0JMULwFaUBBZjfHXakcc0KmG/JaeRysvuqx94/
xDOIFx6BvUWTwrUiUpKrTlFB953Vmj2HkO5fynrWt11P8TzcWv+pp/V8heaj6YhcEOAqrVHA4A9R
eSXaQV+gvUU7vwNG3C5oQkHpgrwbemT/5dLRHeKY/h5gH/kU9ggdrPNgMzBj/vR5AvoMw4Ss9Npz
cfFUbft0V/UUxC2KccqBmTpdKpqcnAe6FXlifa8cGJ1Wm2uRrMHnwfHxCWBdfQSGRi8YUtixhbqc
Do5VQI86e+gQOChrDZOlrqZiL+PAHtEDkdwTVsBpCpS+QILo74CV576Z1kthezVkiWrIHtUpw+ee
RUWBningvwizVwedhNNVJZY6Fa6EshQbyI4BXAkxxjSFA/QmJ3Qc4GEvdt4GFTEgcrPcq7V+lrBS
U2+W3iFsu/lqNKxOqxJs3DwVy70nFnrwN4yeEtUg8T6CjlAGkP0Hb0+KqL9FcQYo/KkAhbihPeQ+
EMP6bjZgv8FNcz0X0rsaN5w/sAlcH5xQwfi3Xb2vxRDnA9kyAMVHHiDxPEgnW0hAbHEBuwUHeD12
EHcQJiiEWK4sovxwWqG5sC10gH4TgXu/9VI/xPk6FBPCCVtMIUAq7+z8EgMsWtqAy7PkE3ggmbU1
cjhooHgPRPCSbOGHYotBQOUhR38O3mJ8rx6qPx7rTSWhMa50UDnMkP2UzVu0woXemIstbjFwCtbM
yYtnBnUvUdWSd4P7ihQDqiFKUuM0IYr5JDzUMlCP3MPZ3o9bwAOtJtCSErUcXI2nLVCK8aypF7dY
nhbgOVtQZMI8+G628Ei/xUiM3YN5D56iCN0sHa11d+ri2dxN4M3esW7zU7WFUggtmwztBIhwlRNQ
oQgpoBvxkWQJoIiiC4I311iQ3InaZEmVH33WWwgGjVVeuoCDAzCIiIwh5XXBu0O5hWfamczI0RQt
ujha2t2Ylp+a2X+u2xIitKBdVnB9DjX3cod+JcBWiOgUyOqILbTjkN6JJz98n0iofpNTgFBSaNok
jbbAD5YEdlttIaAEIN+JbcGgAL563i9ueYWMEWBc13hlkiBgA8kXN1DqdVZ+T6TXvCDcRJ7EFkEK
nGQ5SqhoRhHaQlgtanB22GJLbCM9KZCSr+0Waqq3eJOBtlvrWG4IX3dckwopqEGjaYdC2MlkiNWj
2eJS0xacanCWwtFui1O18DaPFJNNNgzxF7DZ0G7mBN/7sEWxuOTxU2MsPXRbUEv7IcpC5rU6QkpF
vm0LdE1btKu3U3SMtrgXq2h9LL2ieOPRrt0iYc1aboHx0j4j0djmPnyQPS5S8xTwgmYRoeh/8cba
hzrHdmyLnY1rHb5Z6OQ3SLC6F7R65P1HTk0qRNamj/DaFmNDpY48hlu0rWH4kWHz/I7mKj8VAwJw
bIvCYX9c0EqEeBxOXn3Mrkbarj4Yt8ZMv88V/3XH/s4dQyPc3w7552/afFt/FnT83x/2Y8IP8A+l
+JBywhCtIclHAeWPKT/ClI8FLfb/6YL9yJjTf8BXQk8K4DsfXliIafKPIX9r0cbTEYL/Z/vHOlAH
96Nj74+p7a+qKXEy+GVohKIDXxWN7RyB9hC3w5+nOB/n3jaYIn1MZq8Ksk4H4w4FmMCnSjFHV8Cj
hvmxiAySoQTw5gkaznhfKm9uD7VE1UqGxrUG1T2g7rMYECIIbCgqvrIFrBcRVvfJbMghrrsA4NeA
JQY8201R0zLIAX2JJ+ujkgy3/XtDMXDgqZ5m3J+PY927e6OTp14VwFg7HAhQRdUg+xNRFJBozE+X
aQkjAJHA0B+A1wTgmkfymiBQw1LPq/yHrlvqs9HzuOtblF0xhQcuqJFCkii2N63tTU49Sh+EA37b
Gi/5bnzdk1T1gV1SlIPpUzFDPUpDW6v3YKYjCCmTZC40cNW2C1W7gW9Znt/w/VeZ5xk8eqGzPkW1
dvyAIwGoLdlOJ1fLMIuDCQ80EWpycr9TyAawNmmTl1m6AYxzw8lrjCD5hak5ySL07hxbYt1xXIw+
zd6EV6d8WVKEB9a9qcYkW6o+mNISxX7o5asq0JyLwQFHS44Z2FeF93maguiRj7JtUzYF9FqDCyQH
dIk1n9a6iTlSiBN91e02RNeW4NnQ3WZvuWq8765ckswGgzjXpS2/elgsb1TE+eHj/ZntXeGXDTBe
4r9PfjPiy+haN2cxi7tlj6IyqGMTlKOeK4f5ERfZ8BVIgkMTVRqPlY9ti0JvB1SGINo1A2ZcHkVD
a3dk+HeOAgDWcV0dAkBWUE6EQ8LD6+uzC/vTDCDYT0c5Y6msCv9VeYSzPVUrJwf8VHCeHFv8Friq
z3ICYYRXrzKcVaJqB7U/euxb13zSXtA8lkqvr4MqzTWHUfokHcq2SsShWI5BNECMciquxBCWL3KF
xtckawRqHF82Z7KGBjZiep97fEiJbhKwWL7pDhFJwhQdJtAhWYKuFCuV++y6ZT3w0CBQ0fjB94UF
i8oE0hg9ombOlnnhywr6IEyO8qZu+o3rmhqF7B5DBDILgxnfMKB6FCftxqI2D6JN1kvlFhB/2EJy
5ALFpWVtZbO5WPiBjgnd66YMPjWY/g8tt16f1qxMGuDCVcsPNSXmcezD12hspmsULrx03K4yw4S9
oB9lcp7bzXVzaQvhxsxQxvYVdwJdc77KUHDWnQuB2H1aTVzfOtf0d4a59t54ARrB1rW9A7JMz1OB
jDD1B9jdqH84OqQZdz5SgOcSucEmrf0lyJYmCp4tejiA4q8QBoVmuFG3mEaIbHTW+V2FHxWsyv3W
SbHz+xEtZURIl02L8Q6DCsxlChJ5a3kA6tNborsxKvzdXM4j/jA2BPGLthEy5V6CESHZnNkFKYnX
2XnVRVBafFm1lLAA4IWt+OqdSuq8YwGCxpKCE0PDbAA4nOAx74gZ4Kb3pLbdsejbAb2yQLhAXNJy
N5VzUKVe3TmkcVCR5eRQIr+n9Nkh/PPJY9F68IcYycpg9XoURKHfyNuh/BCMAZolQ0Q8O7MLpi6i
uJWjhSKuupB8Zmy9WkBo3pfWmZcEnz84hcJZeULL4ma8ukKfJyGBfK5scmm9YBIHARlV+PzDhFLC
Mu5pFndKZ7rxyycWFyDSEKCvM8AD8moeZb1ms0aChkifgVNkCtZnMtsDOq26DA2Z7/1WwaOr1T/1
OAvcQNf1nuoa2BMEaQRKESWRCFd1zYhMAHf6TvO6PscdToz9gsXcZzNWJcMm8fljZRnqUXxH/1B9
bnrcoXC5Kfn9LlIIgz5aJK0+6QXJWOYRLKsz4H2sGit2GA3T8GBBv55QGOiHuB0W/4FG2wtB2Ld5
5xu8k2au3QUYxqxQ8Okl3Q227fXG6Lpf8x5lJjuDOoSL5jS6+lBG/jsu/d24RCE9/iQi/QtMBE90
fO/e/zQr/f6YHzTRVuPtQ7vC0EMIUBvYT3/MShT/ps+GgEHZImjdDbcqmR/D0l9kHEPMUWEEqdRH
0OcjMvkfDEvhZub9LHnB/IL0iskMkxz3oYxuIt9PIp5yfe0LsZa3sQKfkTUfyaplC1mhT6Jej3GP
gON+qosS1ZNAUC7FR6wLlc5fzUfWKy5arJ6clEjzlm5AuA0+BPvitJ/sUOuCWsJwy5b1KNxpXqot
kNYbR77KoLBYRqfaTik6aGK0WX5E2iqgA8/xOMaIOw3JPJ9tUOnlohXrduVY2w5hnQbSxcrqi6JJ
mNFJAAFfvWsyrQq62ZbMo7Jzfj6s+m3e0nu+XzancLaIDqIlj35jEZmidA1AzCdc4LAqlk0QDrfM
YLOlB6dmio+enjCk9K1Uqa46ez8P3gHwPFhjZBGXLZRYes3YZujy2N7V6uSLjQyqHSaA5sgHXJco
29VHia5BCuMFadIRfl0jLcrmgq3Rm27l3n7faLP1AteOYonaCj6Jm+hdtRWCh9KZO6PA6V9tfWNf
cEXWqxoSIgrE3VYmPuqPYvFYF7ZGiwJNVbgwqw6aq7LZ+dZfLj18ciAL6PFa8Y8IdHsIeRsVsoRl
OQZHCZSph/5kajVP8ZWbbIdEXkYNpb7dLWU9yRLlo4W2CDfQtqYJdK8lkRWoAOxvCUTOgqPoV4Gs
isLPc+BjcjWrvWuGxLNfAQao7axMzfdV/A97Z7Ict3Ju3Vf5XwAOAJloclqonlXsSZGaIERKQt8k
euDp74J8fP9z5Ahfe+6BB7YpFVVVyPyavdc2uRlvbWZzhfXkAUHdu13iAR2oV6U8vqhVNF+o4TJG
nLLuL2W912TA8ua8T0+JVKVg8ZU9WBYzRHPV6odxNt6tySXwoZMUt+GUVdt5VfsbtmWd/TSrdhHX
wn5JkuywcpSspJ4eO7dHjAGQ2WYeCSAE5kgXnX2/80AXC97twE798GiWDB52uZidU0HTsF9WE0Nl
1/mn3WlL7NUvz0Oz2h+6X06IqEsb5BXMqM+toFSSIsrPKRsv6yjL/itODOBySyWde4N3EAm9rKOv
USPNmyjFpFGsdo1hNW54vNw1X80cXCHTQ7maPOJffg+5Wj+KXy6QDK7LjW1FGi+V3Q5bP3PLE3Jl
5zZB3Y+DscvlxV1dJmW4mJsF4Pw2w4LC75ju/dWZ0ucRKrq2Z48s3Yvpee1bvLpb4tXnQj0JmjrF
+4JSsDz3lle/pO1y65Se87B+s+9CC8kUy3vYVdq6Lqk3Myyp8TOK2tn7SW3TZoja/FlZs3lXrU6d
iD3wTaPleKmow45tjjxqZoB9SNMhO4QJLoBQ1+13e8zaQ41M9imSuCiRZNoXP/NeFwxE5eok8ozQ
vUDedS51oo1jmrYj/JtqrfJgmVymRNjvhTNP06aflyrajLkpHl0bLCkkb/HT8HyIuB3vxj5bzU89
tDvWRipokpBlt4FCTm0yLBdPCAEm1DPeUH1Kf46enRSRGgDBxvnoVodWSQXO31Ebp9zP7UCI2tjo
fshPo+lW52zS2DAZGe5C9Cx7sTrBJoe101hTRGx6d0r31HUwMr2+S24sBXyZ+z4L8Phmz+2ksXem
1aNvzxe1+tKc1aFmeKtZzV99a35jJGqjZO5/n1Zzm8r95DiEVfkdaoKCl77a4eoCR/EOcZ65mbHL
hW76CCHBP81imLYZ3+4ny1gXRtaI0w5yaAh8YXlBbm9t58mJvI23+vPS1alX9ab4Wq3uPbxjxnYa
LfDTk+k672g52Uys/r/qlxPQa8YvWdyCZBVpdbVzsKGbARuhMeEnHLBb/oyy0cBQxIC7yuP2MElb
vNnlUtwtqzdxWF2K8+pXZM3b3durhzE0RvPJs5olC1qGRnpfVfA229UQyUofBuzUV48pkQpdMK8W
yjjtjY20uugnZl7zWA6l9y7sbmFOyFdrt6xWzLjDOrOBej1iRODk91kTYM3CwmlrSBs8kWIvI8t+
ibSqb/zRic+Vaup7hPnDttPmwDu7+kaTuemenAFlZqBXbym2oRwpgIXrlCWdu7FWJ+rSzHMfSFv/
ACQsdtZUMSh27OpKOwXyRmBxXVazK+TgHSY8ddWD7bBQ+uWOZROSXWMT3yy9R/o1X7206eqqRas3
P5njarUFV6kepZq64+B306mawoQZQyjHYMAxeNcMdfalUJX+wnC1uS/7PHyt8cbd9BPumXi1AluN
nHexWaWHeTUKh+DMNqZbtuyW+Ncih+lsszuVmPvqTeT1L/C8zHmTSMwiRuLg1FttyxrY9z0rnEjs
MDxX5/KXzblYHc9IAosM2Kll7/zVFq1Xg7Sc8BM5q2l6/uWfZpS9nK3VVG3z9xtBtXquow4ytLt6
sefFaY+mXLjo/dLsGadGbbJ3Vz83oOeagewAo4SlFLsEGrpEoumbLv1qDm9/+cT/Wxz/W4IBy1ll
Wf+7Yf3n4jhpmfA1yV+r419/6I/q2KfOBdhBf+3Co2ST/kdprBCGebDt3L+AP34JC+iZIaitsq8/
a8KopE02tx7KA/JtoFX+JxNEZ83H+EtRDALBJh0D5CVaBeH8TpBsLDfVvY7i8+Ks2no2ty4rCJmG
9rypXTm8A1bybg3HqR6Tei5vl1Fx7PuFaQWl6tOdxfGLgCtju9PYU3YXM6/KMHqgFVNec+CEFOeu
7OHADUmtt45Pm89zquRqpBy9PSrh+GYAxXHBb8iuu7LzS829cO9Vwj8UpooPIUXTgXE6/ICoYOvB
Le4eliRuTpkULmjIOWQd0nJpiH4G/1EgNrqZUdF+SVjt9AEMtBRxG2JNEffDITVsDo2yCh8rjbF2
A894OvXmB3j76puX5f4VM2RIozr53Y4fiJgOgMHPIL/fjeHkY550EfHDSKvME1NQCdDNNj7HqtE/
vZoDXaSlT5dd4M6Y7FAT41NT5MZw2TshmkeJbhMwPdXEZs44IwKR2j9SumSIvemyqfNa6I0xR+5t
ZJY4x+rF+CzdCPenVVf2rbHg9p8TjRd4gvuM//OQxf7wEtdd96RUN6GHMJbmQ4Ze9NYYWaaC3pE4
gVl59rjg1LLp/fKUm5mXQKtKmlPsqMwLbNtqvumZwU1gy/GLiweEd7rMP/IEmTKUwm5vMcT6XDiG
LonZ3EE+ds5Z09XnJlwWaBGEfkCoavfe5DMjbdxkZh7BAhgLnx1lbypRGg9Fo3v+tsJo93Yr8pvZ
8gCoVIXLP5Ql1qa1wv4Ce4BKxzHjw8Sq77kqmeBlXQIleCxrYWMxqKpd4Trc2xjlMfPFtuDWTfgC
nnQj+2svKWCDvjKRI87WAAqNWRE6kdlsg7Et422+iNVlqKaRnAm7BymAxi0hl6NdqATj8j5xsUhK
PXuXqMG24SwzTJfGL651Z6QX2xAMvLNixFBdyZly0GHU/cp+zCZqpY/kB+Yvchqy2nHX3CB+qjaL
41IvkbcdPBkhRCjR+xaOeohoSYPRN7BoF0MQz8PWbShsczV8lp7ITmbT6mBMDQjqAztqKNbxdLMs
nUtmg+rKF1Wl4ZtRuJFxDjX35Y5OxPquR7NlumyO/eOwjFXIKj6z3juVhywRS90/WH2pvwL4QvwH
4flb1ogG3dvczY/t6OX+UYpsZFSP5/aY2IAJVSEmyZ47jpMN6Q/iVQwmRhIzlh+9q1GXI6efo8Br
lvxYR6X/NcU+dMVoOpuQUDP1vCCEA76feiGqkhgW17bGcLD347L45kSxemkS+WGYoEFcRJVXZsvz
D4f5Lt5S2qByFyLWe0ujvqV1b9LO48Mqm3camYaW1EvrE/dvt7bWPXZKVjeX2J66bd01D1brM9PV
hObsGqQfwew3EntsvQQFoWQbJtrtdpJ1gnxd9WwJOn3OKgvch4nMcBHoW3gfZHogSIJjrRGzFxiQ
4g5DLpNHezCcQ5WY2YTFrwvxz3uN+W5nMWXXak0ZbBMUuQLeASqsq/NTNAt9m7E/zzeqEt1jw7XN
G+sV6ZcsSfW8oVAQIydaCC4hmko/8I2x/jpgxmiO0vDbozYVQhDHnNs72TbGZ+V4dIgtgMv7GZb+
OYxUpDapgHlExSyHveHH+qs7zuMPDeL6HRS7dcXPHBY71hP+TGU2r3E/odB38axCnAF2XWzdeAxP
QBQZYKNJeGJsXdN5qfGmcQFsFzlhC27pnWU9d9uhLPMHBbGAnQTK2zTj2KwsqQ+TWTxHzOEPbUPC
RAIeC/dQkzQeg9a5DBBLuhRR0/J9oUYvdgOAvi17kWJnVmhnN7mJ838yrXzob2QOC7QLZDPWyZfF
iHL2yZ4sM/MNM4ML7DyGjNF1b6wt2vQunIBK2Sp17yz8uXsGks0jtHDzkdVddM+xOB1wTC0n5u2v
jizLR82S7bG32hDQYZKGr2Pjlm8C+TKGYVYi53iOsle/dDEatSOPFW1feW/2U3GPUU7v26hYgcCZ
vFVR0QbAG0FSQZDj2ObKC6ZiTm57W/V7ZHk6JTyoKG5TZfLrupmxt1rU1ps2J21sRCeFHKJp3Ytm
G4YoubOvjkNni/+2C5+k37gntg3jc9QbPpX3EMY/xGLMdyXyh+LQGbq6zOYc3qqqrp8WvuMnBujm
J/3jchrnxoGHo/v9FOrlaybTqUI5YACQtUh1Skm0YdrRAc4gAmDHhoTzqE+s5YZuwjvFSVwFxYjE
J++bjQN8+i6s8lZyyGbh47iguXZT+9ogvaiCcpEez1pf3UeYkqAEueUzjmbrolKiQjguvEOqG3QC
GYAnJlej84DALAZ6IBMoIsaIglxPNa9jdvN5Xrz5ASrQeFCzUqfB6tvXJqyK+4Hh8ZHnCUl52VeI
bGuUaHxE+Ns2yzwTUpWW1NPsGPTDKEwgNwyYya5B7LeLHQQ3qc7lXZ8V4RXV8XSClsWuBvfcLSk7
n2aVqE+rFXa1cVpHvyXQYcgnCrNTWwGpLEVsEPgwcNTw9Yu5pJnuOwGsNY+ErDS7D1U1fq09b9xm
neW+21Xi39lzyZMXr4fmqHI7OSzj6Cy7prHt6qmc1VtilxEndgyr5Ua3ul+dTT5MngGN1XvCAO3J
sTAc3rvo2tuj8BQoncV1Mwe0hKXNi824iXsMVoupN3PHqAJyouKdR9c/PzU62q5SnXmP8tnb4yD0
grgs3TBIESIhoa9SuIh5S8pPZ8RvTi2cBOELj3hAk41goxmXJmJ95k5Ira6WhbGlO1RRhq/uzFfW
btgcDKVrtN/obt6pfacvGfqkz3SY7FfV9d6zpaP6rHXyrIHM7QqhixN6/zrw+qFAczQ9ujlLt7D/
KROmOJ377vVj/yGqlgpCNg7RXU7/DgsVT7jn57RWKMwlBjU+HHvjk9xxKrNO/xTLmhDW1Zp0iVGj
dmHfleTHppq7B+GMLE36XsZ6Uzcqip59FxxGsdjLQ8z8C/pwNTrInf7bQv2bLZT5f7ZQdFF0rb93
Ueuf+0cX5f/NQjchLVs4wkGHy//1j0bK+psrV0X12lz9sVxYwzr/obwwScnmkV697qsEw/H/k77p
t66J8Ews09xVpPqh8qaF+usqoTc7P4YwHZ0wkSxXs4C2LtKRElOyY7a2ZhQ3n1M/6M8aPuD5T53l
HyqQPzP/Xf93qTB6a0zbFrYhIRS922+vnngJYKK6zU5YxZarF2XL3rBbe00vw8zodPBbO+1Q39pM
hKDLaHRLkBXs8lLJigw/sl30popaZvJVBj8E4eJcNZimAdlThEGNno36HZRMQwRJmyb9chMmLO92
ZVuz/LRQOcDhIZAMrjREsRiFxS121eGHBy+kD3SCBaaJhYIgS4P2qA0KpiYNpwMCiOl+8fh9sacA
qB8kwhRn4n1zy6m88GuiQmBDgV5Dkf3jm+sitzfEaSZojOg92JRlfcxhj/TNkxUuvXH2p5hF64yC
wPs+4Otkfa08w341hzBKdkUfTQhasthw3mMo2WCs1KgwrVYdyQViMxa6Hu+17a2ahsgfI2S3Rgwv
IoMw+Tiipt2DRim0JAmsMH1alqEzScMzhXPiAuMnIytW3tvUZHV5oAwGkGRkzLsxWDHbZGzsRVuL
aZPwAysDa8tKt3BDuvuNLqOPYpmjOwq7aldB7ediAsJWb5hz+2+sJzqWy9bIaqLU3qF3l23Hf9tU
5tB8OqkebsEq0c5kZiSODNCtBzzQ1XYMw+GtoRbzVX4omsK8Uv3mB1/t62YgimjIXX3TFONeS81s
L85svjA1WLEOwdwqwCawjqCzFzqX7M2MQQF65AIGwiEnj+rG+bFKAh/JtJg2mFY1XBID4jo2ZJTG
SrxjvuaojeOKICmEk4kqu7MM86NtWfljnKfZwzARAQGRJvJA9eiDYY3umTxAeoT52SubAbuwUu2H
U8G8L7LY205CJKcsAvJsjh1prmbe7hhuFSAfk/ylGtxyow0rPqDdVZ9ulK1A+LBJ7wfD1d8iqgMQ
W/hWb9Xsr+uL1DLOZezypwhINB9Aic2HUevlVdj5c0qC4Dudck2oj8w+E9u1Xl2ofltU8nIf5qFc
seXEzGkgHo0Yf4BL8r8tRGTtVF0xHuRM6L41S7vDkU6NE0MnyerxZpAQjHPIgHsxLAI5TxRWxyaS
2Yn0I/dK/Jv1Ptm9f2tRaWLVGLuTSomQIKCI9l1W7XPbV9GdGB3w8aIQN2M8T7fM4VEZRbXzUIP3
QuVep2+6jNN3PtH8ME29uOlJJDz2ZVnfZovMP+uo45ontNc7J41YQGJ1w6XokEQUSU1lHta+9zin
XYH0EVDr3hBTcvVntPVqMd10M/JIHPOpobSu/SQ5M5cQd73ft5cBH9yXabX2ApYZzWudDcmVXB/9
3Gf9CMsOQqUAcAZfPlHv9MzpazO43U3n4DrYTb2Xnk2wSPbeKmLUJ6YKT9B3xkO3mNHWTNFmNnpw
fjpDow+EYMxfphT4dqQMbvq6OMFPv+ZmBcenRyo7Kmdi/RGdbCbZM40S0XNY/DLZf+9LiJciK/Oj
iSF3UwJvAiLbQltOSm9vx+a0XSZXf9Sh09+Yekz2uZyRn5VyfEgrR9/GmT8fq6bHbjCP81tfJcun
E1rDA29IeId+vP9CpWoFWAaKLc9Jt63Adh7HnAaylilhpkVfZS910uQHPnaeFmPUe+Vl9XdB6NeB
nSVr0ymE4ISSdt0TNt29Zw2lTfk3u0Fqo6TwW8f+ieaaWZzphjAXzLnaKhvv9ZQN1zgs7uuhU7c2
g5c3GwboYXGU3k/oVtgfQh2/MkI2r6rLFLb3wn6YpwGdNPY7dakqKz+ofLrLdY8C1uJBPfdMNLaL
VAUj/pFpewLp51xXabkFI48BohfltdcdEz/BUUNffoNYBhqeltYTACqSu8zOID9Mu/NnnI5gtojb
aJgjEJd1bOdWf2SuB688zc7cJYos0cpGSQ/0AtN+ftDMnZ6tJm0fIwzQt3ZHNJjRa2iqrA70S1v2
6naCYXYd2tr4VrO64Uazxsc8qTRKdZb0F0I8CVgwqpSpTaSdY1k645kI6OEQttZwC95dnO3cLlnm
af06Ok57jwYo3M5yWA6CzfEDN1v97qq++vC70vs5gxPJN26Hpl+p6PuYTSnkwEUxIan3IzaTm3mC
+uNZJpGzAOVX70drnHyQR9hF23z4Vhe+lQcDm+IcabuRnnNUVa9hX6J49AjN8p0C2JaDUg2fjEWD
qQb9xY9K193JKio+RBT5h1JP4bWHWXoz+HA48wldTax8lluZTY6Czf22YXCa33bSVHepX7TXDPbC
rvdhPejK6K5Ae91tSjDw7Zh7BLsNZf/FhzyDChTxZwAyEBdli0n4gXGNf1kMNf9Aapj3zLlYgzDD
0BF78s54jmPHfdcIvA9TZlRsY1ojLddDu2bGsoCQ60y/ulvFpIQxhiXH0sCa1mdZjz7Q8ZmOVL++
EyNKVlsZYJ5JtwiQR/vfYNfXezMR32TfVleDgcKTT1DsBh6MuIydkhyDs830YzHR+JfX9QM8a+BL
hwUQ+zCXyVZBW732TKdPEXp/wh0APFaRLV48vxt2kweaSOvKORhuWkKPcgGoMVPY5hlOL6MS9Wle
zPbBcyL5yd4yp63v6mXbj4N6spwUe7NubeCDjfXsIOWSQWHU8h7fRRhv7GFSD3lUeocx5pIdTXHx
Q0JLApwu5lWb1rXDjHVWnQ39IzH0j7hP7I4ZMEk7RLN5R88gR6MF54kVe27vYT/W99lcY0eLbfs4
CbZRi5MYwTjSuBxCq/G+UAvYuH3R8m/WHNKffmH07wWBVPswq99gRno7I1UPaCVbYnUrs6PuGJkt
2Rx50Sbt0vg81o1xctFjoQ2Wa5ihZ+jlM6kbUoIZHo1nuwcwV3G9zfio+GrKdg/a0LkPqU1JmuOy
ZrYh0/3oYwDYCgw7zOE5hG9FBL2DxeZrCfzjbhgHgCcs7uWB+67cD5I1fd6hkzUSyzsiG/HvPMub
uBW85J0CzW0JzUBqqGeCr+o0hEWYKXvDvtTKTljCrIBvdn4/VjWE4kZOqbPxzIrylYzdXWZk46Pb
kCI3LmI8ueZc3nWZHnlOhItmGFTSdwrfmNF/Zh8yk2MFDTjF9ESlSjNpm+PTQPjdi5lV+Yu0qQFl
1C6SqAqt7+qsUzdL5lKtRE54MmGCw+kzU2FuMkbfw8YfwlPSD82ynSKRntMOkCDzAyvpKTGZtRYa
DMsPUZBwQXJr1s2WX2+E9i/ouTPEn/g/nDzWD3TX4iplM98q3Vhblf2C+ejpHJfjsoY8R2+L69+k
0n0m1GbcQi6+LROUibmQ5yLzrK8JOi1yvwlZ0aGLD90rXJCI7G5nMlwgZqLx1r3R7mqxfGvi+SPx
jAe/lstGxYPLAN2C5aYTk5TKcjyYwpCsuHHE0CLcJLkFAzSNXvhYxL6ffeKoW9XjGqG4MfLkDjms
ICdYvlstIB3GB2g8USNus8xnFF/kvDGMOpAzzzXrf7JLKwZ95yjWYl/2SHyjcj77ycC0UtqvmLrB
FwKlgS3pAoICd4VZ3piWIMxAwyx0+wzpC8Z9CMOXJBXvs2FPhzQhSxJ69EGFjncHcCkLUF5l15Kv
3zej9QDrOeFzgU/rWBvhfHZs6Cox8HRGnKNEJdlwzeEgPkFL8vdz2y0BbEcHIglA77rCdlgaOTc7
O547x+Qfl/pQYJeuoE+om+7vivZ/3Rr+c1vKalEIpG3CIy1A/GZTjUM55yh6k1NK0OEKRfDCM1J2
TmmHndmThLT/WVNLlVzZIBX+9YvTW/95k0hP7OJ+sllX+g4qO/XbixO61Lhkgif4narmc0mbEsVK
HsNpUtnjv36pVan3Z68sLyUsn/+s3S+L099eKtFJ6k5xwUvVti53PCOQBkuMDz/+9euse9Z/eiHp
wfSw8Moikv7NRo3adJYgg6ITMMR5H7M3OLk9OXF5mXT3CDMydRlUbCZ86MW32ovoqIEaxXcGUjua
6zDmt/v1K/1Xn/p/6VMFmqU/fXr/tIK/rZou/n/bb1nV/VWk+vc/+McASblg7RCCOhYyZA44C83r
P0SqJvpVQjYw/PCd+qtt/5dI1YVNxRfc5Jrhe/DHXEk6fyNh3WTGatp/39X/J3Ml6fH6f/rGrRbz
9dkVNleK45PE8dtsBxNa3bqTZ18W6HjRciBnd+7wLUNPLOb2anRS7eC2Un8MQKc0FBWxvBs2oVwB
bP5jO9TGJeR3383aKPbRrCvmqUt7BT16ZD/Sn30onFvGVATv9qXxRP4yxu8ywjia+KuosnCfBr+e
XlLCrstNX+FXtWpdbYoWMZqL4BHQyGKBONEJxd8QCob4iuURf2ZDBPmR7J+rK6C2YBRgMavDh3HR
d8DQtiARzFUhax0Z9YqN7+Jr9nL3bEmcjD2Z3HGkv/eOxWWVol8vhiYNGlHOV/pVlvAMXsgw/owN
BO46b41dmKbWfjaX5eCsdX4Z2QdQGuUXNQ8pE4LVVgHYjW71rslmuTNIVfvW2J3Y515Briu7xaMo
XF6/QJXGOyW3XemrIzFhySPpatW2sKzlWBN1FhCZvSrZgEkhfLxrZgUjuc2WXaETVP5MuDfSrAVq
IkdsCUiGQlj05AywGjmThHGNLQWqQBSPayjSrkPOoIr+iIAVHzFNx2bGKo4cMzK3dmgeDFSUgRPP
rzTnyPrRNu4QlXXbDsHaNp/7KCDLwcU22X8ULVK0acKlzgTmpkbfHwjErNXiUTvhP3EQC2w5+g2Q
wJ630Y57VKE6d5iKAz+zMZ4vofE6i6TaCITCKMzQ24l+mvZAaxXNACQ3GwvFM/vV5dRasPJZZdCL
TJbDMMyYt+1kSoZA9AuOHx2mHnYz1EW5U1b6tZ5qeaMN9HdgdAJuLpDJrAFh9kWHWPQe5kckIXlu
7LJUP0NZfvWn5ZLao7eJUCTujTIxd5a5xAevLr4tTvo11Z08rIg6tmQjvQXW1LO21Q9J/7TtBuVs
+U6sxtCNO/KV8JvogfU4Ft+IWb8dkSCVRSSN+2DmZJsTVd85J22n1tdZLhY+1fZmMrKPZSainuzf
epcm6Xx0SvIxlqXEdE2QcwAGSW/BkMsjmSPg4pnEBGbO/0YK+pvRdgAMvClkNdoO8O9mfcAILHcV
k9y9ix9tH4r0pQHGcS3NuNgL/wMuknmeIk+TmOIaz7m02B/irJJbL0+Sx2LI/KAEaobgk6EpCpPm
2SxB8jLvzh4X6A7btl2ueK7yPTLgcYcoz92TvlZsHXREu3KieO1sw0TT0Cyk3GfFjplgjCyE/gZl
NAZpiEAnixSpIIn84WjbEQOVwb5pDbPfGnZcv9BD8C6Cd8Inm3pQ6hUpWUxPEbSTpNA6qfmCEoYp
omERijhoMHhx7QWqXyy2lln5lBlipjHozbPVtaNDg4UEPRhhLO3c2ieYsivcoM/LDHMN3QO/an/x
AEHwg8alrBKGJZl7a8jsI8GAGyCxyU+DJpeo9wdj6y28n/XSOkePISNrZvPnFMY+ss3KOdesYsFr
d08mlRFNp3v22Ueue6RHN0z1jn6sIodzIjFkzN2tlOzybK0+kco+Jui7iaq7z2nLMdck1mFOjB+F
XOZ93iDw7bxLMvLzLbGHozuzgmSVvPciQioAFdTbOcQSHcNLRR6RfNMVetLIX55arPdHb4A0lxOW
tBn9vguQe807G6/btqGrD4hsaK6z7e37wv6mIBFtfEpXZkCt8xTacUTGiUI6yQCIRw1Nqf4xtDnY
0oXFr9OkGNRzdOFQ67M94MVhR79ILkRH0h1uZ/9IjuRdldtfXbe9pJFMT60zvfpjiwYWwXuQz8JF
FJWUz0oNX3K61W1dez+QBCCwDMFWjFH+bFv9jSc70jp9+5xUkDEcGIrXNU6Bxu4+j6ErhQKeM53R
z4aSEw065b6z9JAQZY8unQDxnR67/DLnY3OQU+OjokX4m0MOaUX8lZmtep4lAzdA8Tfg9MgItWe9
73xivyefVyyX5VnTTty3aCJTi0toIp0JDxUOD6ZU+b7pHQdUp/NU46LfQlhMbmbdnqKGyQh7Z9JR
ux6dQcz1Ehfafc+z6W0M+/7ozd73qgfYHEc5IRV2Nx7IZzL2UUmR7xWDuuvy4d6MYFqjI1t/8fFa
Ay0LOgeXSIG8LCWAZ4RFMWkQYRxoBIPExpdegfnSOAYEunHOwr4/+cPScNYQy4Sp1j1y/ibnmAHi
ISJvAnaWsYbkkaCF7lockkU4+8gbxR6tMcICWVuHyEu/AL51TovhP89dSzKdbja1Ef0URu2d8zIn
Vt7Ll42sXWvvMFLZWbIwz35tkhEvuckXTtU9wg42CP68iPKDZIeye5FJFzLRx/hAPs9xYsVFq458
wK/G1y4cCo9HEVRHmpOVmI+Ff0donqKX9kDlrg8Z2BinFUfN3hsnhldjE30R/Qj6FmHW3LSo6Zy2
4vTOwHaAaV8jTULnUUgMh817NbBeK8+NGFowdGnl0wvgoM0TI6ber5ulaa7/La//vfUsLc6/Kq+v
SVn+gDn+19p63cT+/+Ws+pukGfccR1ISr1Cs/62t1Zpwt5bUvstq7O972z92tFL9TVCkUow7tlBw
EP9UW5PjrhS+ewuk4t/d9/+BAQzbzm8ARE5CUORoatflrWXa1m92eXBCCq5KCfXGNADDrRAKQD2T
VQI/76yp3iEo7SrsUkNNzgMaP8Hl1Ikf05TjPi9ocTc14qLrxF2nAM3gY/8yUWTKV0vlRGyOrfUR
+Xb0UrDQ4C4FAzNI2THiQ9i/KmdDnNQp8oUqNrxrxNxLBmhLFQE3aZwdG5QqN16Kaxx/zEPedOLD
GGU435itZggrXbu7DKmS5YvIwt67tMs67+yBTDBkkoAAvqfL3PAEtVMQutguFXNJUsEQk2WkR4jG
xCmAj/2diIwxxjAyFCRZQJRdNmQQePU+47N9okriKhZ2WWW7Og+TFytGg4dtoFwwjaSDe5IuMaFe
U+knkpswr3ldfLCn9DtGKGK2UM8ErUmLzvFq2wcYeM8z0Wb3Lsq/9MiPiCtyvbBYg76SIxHPSHYb
Fvu7zjK+MR6cNhgyivHUEEu0ylbETitbYYz28SFghdUOwjqjfbTM3LlS8rHpQVJinXomadUNUe7h
61L43hPJHeFz0822DyK3E2sAVe3kN6iV0FPCnknfhrGJdwa9WMD6geq4qYeNxhZ2dlWV37AV5b3s
ixGZrNuGDPBmCEtd30V+YER1TFynuzyyxpWJeQijojlmQJM2XTOPGy4LeMfjgr/Jh3MYyFBjROJw
P0rWLW/1IuZis7TG8qxyL5cbTLDAMKVh+vlrguKsfIlQHUCa7UsJkZvmh8SS9mD3KQrWUxw5hLwV
JDYn1jdmj03EJwdV2XEI2wIMHdi6lreLE47sVEI8S6q0TsmwPPpx6O4UETjEW1VjGiTo09iP4NyJ
8brD6+zA6eQLUXkIbOxxly/hEKCDrvHue8/Z5GzZ5ZxYvl+d2QcGOi5UC8R26UWv1SQXeEEubFbu
S5jeLyhWHyaBprvhZfYROjZE4PO7ZY7L3vMS0EOgj6mcWzS7cbxbXJ1edGGYp9qR2b5DzHpeGcmb
rLXY+BoYuQtyiM6yz4n28isC4KDinkzNo2m7uf2iZvtr2TFrBCzlbdK4MwIJZGBflV7XnZmbUeQk
40dTNfkZmUN0o11g0MtSmLvmf9g7k+W4kW3L/kr9AK7BG3RmZTWIviGDZIiiKE5gJCWi73t8fS0o
M61Sunkz3xvU7OUgO5EMBgJw93PO3mszBC4Mj2kHwExNXxC9UrWJMgOxbGUwZSsF9myY2t+pqJ6d
UaBu94uSObBJP5QWkbs2NadYrwNgmS994iaaiDCO509tZDCnKKgTe2lhwK9jcc9vH59jazLw9Y1t
ecSy2n1H+D1t3JCpK8XncKjKnkKCOjkP5vZQVNUxH6xPlUqvCeTtWfh7jxMV48D5kQMbTOnGOznB
cG286Ii3SG5cE+BSzNUPOC+7AN2aqtq703gbS2NceRZYsLpM223vz5S/vn6yFaKnIc8Aa2Tp91Sb
9UrmA8OhNOw+RUZ+61ZCoNjE31+1Fotg5N7qEuVpnDFJNV1PwCyV+sHswnybkXCydgh/4N4qG5Hz
edh72VDZGIhsD26dvjMmpZKXpneyWS5PXQ3Pb6Q6uoReGx9IuQw3PBXigbbvQw8Q2nB5U3ORX0bE
uK/pspolne9wMI4Jry7JWblGsrJPRdmGaz6wekcB6n11qvDZNBpoqXL8CNtMHAKHJPAmQihg0zlc
WwYlcTdhU4I46z0gvsXwM9vekTytq2/XDwOijx3LhHumGzI4OEjt9gvrSreRveP3q1K18QUVeb8m
sxosLB/Uziyq7mIFVnilPvdQRJrXGSzbRsfZ1yagQR173R0eIOZGaNpwRTlo85trY6P3JTYUEIsZ
72KVKH69Qr+GOrokKmR3qIjRxpu6j+L2kXLJ3sls9j8NCYdPQNdrtJvxZ+ZFn63AQ/Fu9K/N7D3b
gTzKjiK9FF25y9KUXo0cds1QL4LNPTmYPlex0nBNg2rPvOY9tyZra6FkOJitfCx9J+EGTgqEAki3
zxby8kso1JXD7E3ahE+MymaiFykvC7wGrLRbaHawUAmuAnu8Tpa1tDTce7dRexJgxuvIR7dkLwQQ
z/HpviR+IJ5T+MmbWnGoDAwKBbyIt86Eia5CUOjKdmf1lUR9HLurqkfNylS/CNfJlLr7dOzmY1i0
h7aMT33kJ/s2pS2LPmCB6xk7NjPSo33PWbkDc2zOvJ1+1wafFzI/w70w3NMPYYacf3bq6jbtmKZN
Q19sy9gK38rR1utBdrgtOVbnQ/pZ6P6Q+8Wt189srLHnbSWuuH5qLlXkZO+cWw9gKJ9j/CTbnvdj
Y9dN1qBronM/qaOo8aTq0HflOrCsmem1xtnLBAk79RyKsxVZwW6iZF41XaC++kVXXpUpEjIWaqjN
Wxc5JaWgyu8Do+d8XtQwbFv2tTIaUEUXVoyoQTCU7MruRlKxrCMpS6bCZrQiE+xzaAzL9jzgQ7Bp
87gMf01HPhmM7u/MoMQtySRBB9EKq3d3hVnjHj36XaexV5/1aJZvZMQZAfRmotN3FrVIQyEjCGvS
CMz6A/ssAI/We0eNfy9CJ1q3emivjZXfD7lhrKvEeMimsLtLxuhLg/Ng1414SFGTfnEbnT6OUXKS
BsQewduDtpNWLyyv+rAkzZHhJ+ot6VT1UY0GGmvIEns7pSnoAowBOqd5s03/FUVns81NsrqCfkie
4BGDcOwb98PurGDTWdReVqjS18J1SLIYDPSsnfuVJB5qNzdznhwQ0rhLbJIjHBpgeZCbqxFTBRF0
QDOUGglx0stDxAcWQ/ZVCcpuxmGxx68X1A2Z9PE3ePpvk2k4V8/L+y+q6WlZdeEF840FDJEtm76a
wDcb1Tpcz2WtV6VZp+dmnotD3OESn5s8uBUyPbQJSRqG5ZTkG3n4ZDOoLCy3YfdgIGxd0CzVFxIJ
DgXiiMe+we8vMNyAzSGM/QZY87cqcd9ZnZlywy3fdLXffabPeLbh5qAUrifaOUa09UubDSLybHD3
CjcKHaQc/UIsLzkyrHUhrYoqu5lXadtMN5lmQj0UxFQ6YfWeBplYd2MaiXs6peITC2QDcrlTKYGT
7RCmWFeCZqcznbB5NUb+tYIvew4IF9mlnAWfzAFvBcCh1EXfoSf1KQuVeMtTy36jRKXMnluakgxV
VoZIOTDAftxJottXM+42DsD9yQF8g8bX3ORKUoqSL8Nzm9ekxC/onIyTB1mDUR+E1OciG8IzKV3O
DkVX8MkzOIgyiU+9NXjGJ9AApLgN3wrftveNqN48zaA2a8tx25FfdvTzQq7m0WJIqaEW1fqEXxoF
TNSXmxT64YrYgpe+xbMm5xIHQUnrzEoLIjf8ij0wKQ6hRmcw+WWLlEqkB9Wi+g/ruD+RRLP1a3WJ
w1h9jpi879OSUW4UZsU5bnFzJ473aZqJ5e2r+lrTKABG+Ib0mUNT7BfbOPM/i4DeSLpEihla4eQo
y01j1UyfYyaC9pRvnSo9zDn3XlYjN4LpIdYF4koiH7DXL4FuaDHgUrk2roRlbD0n4QvKyRubQ/7O
dLnMmVd+HgvCnh2TtEowfGd6HdMmFm62oVwBZd4aoH4Cp2RfTItjUeirN2R6j2bsPc27z0U5WXeG
PT9gLwdviNVgNw65Xtclth2NeUyVVn1r1GO/q2cknbSImlWbZtnnscVsLCUxCeNk6FUM+nelAAvG
IdD2lYyL4ibJ5s+IX8YdKhR6ttBqmeoTvDA6M0JJ7vQxtZFNETNrEzj62RHpTRV2+lLD716TzP3B
AbhBONpsBW2cdWjgLxl1f0fETLib0y77XAOw2KQarmilicFgFk8EZ0XU4mTE6W0SsMBMQ5LtPCxH
F9v138ymDhjUj/YewMH4gLfM2HkNg5spdTj5kBd9B4vokgOvvEgMyFlRDesZ5s0q1OZ0kbF3MpAj
r2dwaWun74kS85zhBl/nt4KaIxXGV+nOr0GJ5Uw0UKGgsXMxkt2QzkffTfrtbBj7NPzANUKkht2Y
N6KJywO4kvsqUud8DFkiw4r8tT4yd0BSCs6stdqrtt/LAu2AiuOzKxSbaGyezMT9bDmhWqCdr6PT
vftd8FYUCfdPoR669tYpfOSZc7uipApeDEP2SBnTI9aEeR0o52b23GcX+V3tecU+YYNcycAtL76P
w8bITXGjNaxP2lFro4nNJXaQCEaUJuYl8Qv6qLNxj/MMuECSjfMS7Ure6cIZoiltlOFuct3mWHMH
v0w1BpkEO4nyB8ANSjYI0EhVpLVnZV9TelTFllCi7MK2hb5hLFTKIa+oHYhOdf4wtIth1BhJdY3t
BN2AESBSkGTnrIukLb/KQZD6NPRkYFtl9XnoltY0+KojJ+vk6DlhvgfooXflNAfnwezsXZ13j1M9
E65eeHee28X3eWSIDytquvMcRvapVG59AP6SnIg9mHbWoOtHnaPxc2v5Sh0f3ya5psgPTOBdAb69
pghu1OiodYc+/lYA5N9WpG3uVcGgIO6pmHAdAvb3oMbVCHx8RQZxnxMYFIygkrMKnXjUtMGG/gak
NprDge5cNAoxzpww9e9s0doLWOXNzTpvlUnn1QlSrhgH21vc9Tncuulo1T0mpaG/iKzgaNGEDvux
9wIYKNpge1LAaHE5GSV6Jc3ZElIMP77xMOfw7AT2yJGPyn+nJcrCdpTrYoQaERZmeuTseCRNHpgg
SfI7liuLjv0Cx8msfItGax+H5R0FlXsF56z3lMN0XdQYf+1J6uQ0rc3klu2anWigYrhAmz7nDROd
ErQfQzfaihiA1kZPCVIIWZ2dqSGuLkijQ5Nosf6RaJm0jXlGKtSiV1Yf1dzdTh6Mz6W+kHN0Eazu
2yVL/T6u+RgZV6xiL4FGmqbDGjMT+vWCGKOkco3zoGOwN5lEFJTdBrbzVLiEY3DGBp5dLgYzJnC5
MPfBQM8DNh/1DANB2EQRP8qlXx1F7fe5KB/soiWKExhhvZigoRDQaaDWkipHgAagaGiJO/BBAtmq
WZvhyKpsmf4hBMWznZPSWiIJTgNP6hqGLezXrmWNtES94RD41jsxqh/r6OrqfmwLdJ/NhCm4QkBe
tk+l3+c73Y1byi3uZIHIv+0bCC0iMi+z6OQevQ2tlJmNV7fqWJcCaTESyBiPZW8n66oSuUexM+df
KoD1KGGHAYl9Kh5ZO69yCibeEViaxB6ovtxhHdSUhK0B4GUmv5OuAGHtEcY8SI0rLHxvEOC8hzgw
+CBda18NFf3+UQH4EPqekMwWFLOQOO/MXdtYDgOgGv4Nh2XjR1rYiiInfsww07miujSzPCeu/Yrf
ZFemr63I9kQ2f0CKKCl1owlp/hyvoetuqjiHwlTGm7nqP8p2QZoYyUsIlHpbaUwZaFLXiQSCCESe
fskcE6Sak+gFMgM9OqvWC4E/93XIAr1uutoe16Wpnbus6+XJ4FxfrsYgJUqXyQ8BsFPNF7GTl32S
EbpcVpgyABkxx3OwONnnMhNnTK7gI4ja7cYk7XZ0coITWxahxbNwKnboqepuDMKN97qRqbeC7Vcf
o7Ty711WNcRSjagthjlhFbqrxePVPhrazlD3uYx8d5jKh5osvpB2m02dMLF8yC7CO+iJSsLW7CfL
hySFPXEybzoGlG9NMjpJe+PjWqNrsfr/0rPffy8ur9n35n8vWpt3Dhesc2H7f37+T/Crv0txFoHJ
T/+x/dFHf+i+19P1e9OlfCs/KPheLF/5X/3D//X9v9KNp3nu0pv+z7yJMz+me0+mP/Mmfv+mP5xS
4l+e47HYe6QO2X8CTgCisByhMUFxOnCXXvz/s0t5/xJaesJcQG1EFJuIU/6wT9m04jFweBYtfyBu
fNcfb//+N2XW34Frxa8CLuIthC2Xnj45PQLNGCqYP6HYlK3CGhxlcOpBheEuoUv4MIhg3qmBXJ2I
uuDUm280W8ZjyXANkCML5JV0gfZAvla/V5Wo9mQQmub6T5fx99/0z+YqS/4swCHkAeENVDTmBAiO
BKKen3+1saHxkUjXPjo93oA7In/MO3e2O34HWAPJSnTFJ+L4DL2NkMS2gaJ+LhFKZ6PX+d/cPBcP
DdKeqt6Wk0NSBMCk4DKFTDnXOmzE1ywMW7vepj1YVZZBg/Q5Kwb2xFyXp4tI99ZwD0Pizxv2LPL1
NiIdNObyQjtJ/Rk8QHAoRiOLB/IC0+pKWBvweu00uEpAV3qAkjqxLSSD1REAb+V2Yd1tvcFV97Ow
O2gBiPqHusLEgvU0ZX4O5/4tmzLzqiHZ/0hNgNCDzxc3i4t9XxCJxwng1HLAZi7fIxiFL6qISa6a
DTbvYZfX/hOZjwYWirk+cZIQkGNV8x6hhr7zMmvc2HFzJhsYy4DdYPKJxnvhjfi/mq4lcDyEfGcw
xI+cme5KimX7Umk13eRBiIolTlARkb95NbT31VRxszJI5CsYaaTsu8Q2k4/RWQOi8MJ4mJERjWsn
nJrtEPXjTeDMn8wuSJHsdBEpV6ARcAbjw9rRQdFvVOk0cssQvwW1IkRSZUb21XST8gopWVEkunhR
+tkhCUshLr4lBKlRn+MA9fAojIjDV7XVky8pqtPhcTJNHCWhwsxklxao2CzflQxHkrWobTYComG2
M3AGFNt+uWVH4kQ6g+WkoVIc9dwOa3yx9gNXvTojPq8JLEjNUyCUd8Il5J5CRh7Bxs/N9LlsRfNY
OEX8US24PBqhRvmpaqL5onI53qjedL4xmbZ3GgE5MiXefS1BsqVTDyQwKgDbct31bq4Gar0yKcPX
hNt+hR58JOlzge83NJNNpx8uOCrp+A1Nt0115O11BW+vNWayPVDq84aWWFUwWwRNobMIoJBySzNO
8ndDz9gJc7m2ny1+yNoYiSL1XRgLhGaKVxnQU8+AzX+nl+HfVhmKF3ccgRyUuh/WbRzbXxs5zfXa
d0JxlL0d15tiUOAy5tbJpz2WRs5KjtUwtZBV5sg1Lpe0WJnKmzZpkAbzisGN8WiNjcl2D8Lw6I21
OHulVVjbket47J2ZojKjnXBDqmx+pgTi6unORyCEiiyGD79LJ2mBjHZ9/Q7wYyBenUqU7Okyv/HS
Rb5NEkiCQz/2d6pACifdaHm6QhfbYJBqv9/3dqqAu7fe8OAQS2lx0ivsY9LWn71wmN+cfh4BMzb6
6NlxQdzEBI++BFV2YSUcvvYhwAqaBPaEBpCgWrFJohqsSzBAJWazrp2X3HeQV1tVzQGvwDnaX1RW
6uMoQH9QqLsO5p6e1sHNVDitXKGQ649FYBcWXYGU8U+MTuQO8YZdr0iFlXdNit3JrnuEcXMe9uNq
ypv0TvNg7AeaThjBir4wdnUjmFIwh7cvNsvBmZgXXIycJLMnv82ra9QxTqXSlurW5zh2Q78VbLej
KvMucuPi0QErnW5EB7fKLPhzm3vU29ZiCk/9TO1PhFfIOXnALkUcwiOxYWIdTAibsnJItizPLL4Y
DpP3OGiNfBXRJUpWhqrte8YvqfFcqoAcu7GqvKtUgxvRqsgCPpQSocNOm5n3vZ5Jv5kyMXwNXPIc
emAxV9H21QEj12Y2bCY0ATGwB1PGPeqmKtTn0OvjnTP09Sc0UXO88oUdPghLyi9Fn6EcpKmPDrNu
gntNAYvIBNFNujQRm5cCyyGTWpGzOtTkoW59G615CJOY4Z0Y+9sWYGWxCgTwNabQ7sJYxr5/Z+AF
TTZW3/ByMOL6D9Z374pTFRunYzcv9Np5icAz5xvN2ryLJ2ZddYISsBqsasvaMB5pRfvPfdIL/sZN
RzoOD3miFkAOvjmsVDMAJfSJModDVDk3IrA8ongnSXCt2YjqBCsHskffVt25dW37x8d2gCxyzsza
AAOOjUn2wtk2of0eK3NASIJWJKlG9RThlTky4nDuPRUKXjV7l1WDZcOzEnU3kocbk41AG4/EjMn1
31GLUjcz1CbHZ1wHIiNe0KTtXWKgu0zIV/Ya+ALfMI/yLudB10TFuMPF6pagXwm4NAsnklJq/ha5
pvESD0n1UEs1nrVVMf5syjD/Cnq2f+9V2pwT5AmbOiuolzmXvHF+L965Sy21hu0TsXTEROdsp9AP
b5qC0h7BlqrPyq1onVmKkfqalqijFznWpDdDVntqN9VGRIt47swnOyYneVvZVfKmW+zacPRyNa4C
HUifqbQxzbS12ozBd+gMr4QAp/Me+Wpv0Igx669REyZPqCn4uMJXQ8f9nWHq5DqZ9qdk9C2IklmQ
bZWunRmdYIixIhpglgoOXnckBOsjR6ziZSr8dtd2RgZn2eTz8gkgJk8ZWNWLsqqMnxn136RAgIej
kN6CE9YZE79G3DQsZzxFzUTbBn9Iv+LchXQ0dVufG8SRyavwnK8Nyr+NNYml4xp75QmsqOGseOpo
0CkyodEbpli7twbj5usQmu2liOPpQdsi+jSmvUmXsiHlYwXh2th1DV4/Dx0ohyLrNrSKcIP9Rsqb
xZFrbbyxaQA5YSLB2ZCRxk2sc7/x48l5H+KxenMRlvboDg3v5OhmWA6YFnBc7PIeZoG51TQp6plK
1F6io4rOvgE4P9N8j1Jq65FAoorOfNwDYJmtEuGvIsagztE9rDme1F9kjEP+AX4p3cyOTf+Bp3bG
1sc94G/RDtinPq7ZCfAt5tUhqbieSBH9EG2Yozl/FalyP42j0JuichgP63iyz26dsNCGHihUl7CE
+BbTTTLi+HIAxUB3f6qlV12FGpyXynehEf1ggiVRYryDSsUJXzhVvq+amsIPZ6NJnouY2TIqJ+z2
0cIgkxREGZovGGVB55QfpNxqwr3NgJG7G4M0y0l0Q3fX2UituypU7dl2J1nYvx2y/8fD8E8eBse2
/9bDcA2Lb9//17FJX/Nvfy7toFAt3/h7aeeIf2FHkTgYbI8i6ke+4O8eBv4IlBVWTrS/PxMFJWxu
Ieh2YmNBmbUUhH84GPhx2jIXYDfl4n+nrINiQ3H0Z2OOy1/K1GiZcTJgivjFvVBR89cZ7VzIrQBR
4yksPtECa6Nt4HrZNpLW85D1/S2Yo4gionxOA8s4mgOe3qLDw5XNYbIpG52RO5LliG7NJ8s3GUOW
KfqZQg/uBuYDrSThpCzNhsNOh6fLbZxLCTF+JUdxH49D/eqp7NYe0ltlDHsMuf6mrS2M9ENmrSBJ
uStY+R+d2UUXRLQkDDklToe8WBrHtGhGGiaryJzPhWfe26JBg1wPr0vQ84pkkC1y1GRVt9FHA85g
kxElvnUK9+KocT9ETrkGfvbhJXhQOUr4Ixu5jtCUyOQWPu89T/oZyWgJD8NYjWH0OpUkxxb4Kq0W
ln4v3kkDeq6mZlekqNVrJmBfCLA4IAqyV0wfvW3RAILKGVlDCXtO+vTVMbFjmMthvU5ulyvQZh3A
giT9iMvcWDc4FnYqpXesMvwG3aJXxXH5GKjh6uajvSaLMDjWqfcO1Mjbi1AfggD0NujE45ymBKMM
DReGSltb0UmGnUR/MD7a4XQdSv0cquQUjOlrXcVkDFgXBgK1vbJ1s9W8IZboDyaS95qE9d2kWuqk
kumdXnJAOmYeHEmRq9F7ZryATzakokZAyhhNmuE2SpZRjNEj6ippuAXGci3D7LUTTDvMaWZ0jy9j
vbxWqfkC3Kn3Q2Pet3LYd+F8Fi66faM3z6UDeI5Tz4dK+TJLRLdJMp4lH87BLfBuxBHvEN3C0+y3
JG+1dopQGcEY1Qu6XU6qm5DQi5saS3sxzU+1rnwmB+NjZlqbccqHdR7WBJUV0WveD94Wncm7W8zn
XgYRI6ka5UblPEej+eZW6s4bIrG2B5wrTBVmq6sP1dg/znjSI4jS3KjqAHEzXC1asHXSAuPs4K/Y
xRRuB4bna5SN6uThDqXX3LboZzLIBo35lAfi3VMDGiuUN/Ql0pNw+seq7h71mH5k7PZrOM1w2bPx
UfmYN5MIp3oq2RJn2wjXQqDb+3HdRW5fPE8/F1Ue7wD0kxujnR3nk0dOR2CuRvTdg7KfIXxMB5r2
M+NYwmWkUb7EPsM2EhCnTW34/YOyue3SMfDXuGtwRnptf6hQdOA8t/pjk9nucewNCGDhlDKvKLO7
3CgnXNRpf8pC5qSUB+qdUveFstW+EdQfAXdNEeHVqZOQnqtHzMsGoMzw6jsFU0A6x6m9j3WVPyW5
/5SNho3Ei+CWiJkFU5rQv0CMe2HO3K+TMcXlYVOhqghO4FTTrx0JDq5tG9RFNNaA0ouWnB+nuqRG
eJ9Dz9nC930qDJIL6cJa276zXsd8Qi6TS4a8qDi38FVWSApiqkLP3mVRhkqIs9e9aOHgBzm3/xzL
94LgUgarGb2N3kQdIsVOOQWfGyA+juLchpUv2IWldu+06XT7UXLTTYnz7Bg2HLlqOPp9/WEM9Vnb
yT8Rhv5tFV+agy5NyAWU5BBS9VN3DnOl7jgxFwfdM05VkB2IBRwvkVXdzlQ7v7Vvf+uN/lXL7S9e
jUalqSwN2sn9NfjU00OX25NDHguP+obAPUAMxB/bigX975t7S+vu592JfiPePl7MxMb9Y/f6U9dx
cJxRxQSxHGSbvHpLiuOyHMfQwNcIWKg5+Ddz9/ev+W/tRJqmMNsdW7nCW/7587UMVE4joIF2MDHF
QevePzKRSyFgo2Yx8Esv7zdNcZI0rG5//9LqF7mzdpfX9mhmgqkiV0L/0sokHGCY48nNDw3pqJuY
HK37ySexieXizMwhOZje+D40zNeTgfiJuEckXFOaAEeA0wG7PcjncxcQzTIr6+B5mbGOQaQximHU
z/Lt2hgd0Nswxoxvc0rqzOqvYxY8mVYIPnLUF0ahBgSHwtsDEC6/onWy19plefj7d/qr9Xh5o0uv
FlenMCkDfmknyzTyskJqHI4SfUlh3pvefE8CWPUPV9T6qyuKKXM5Wi2adfeXK0rXyh35Q+5VL9VH
pnT3k4j01kxZhHPbizeNm9y2FKwPaT/dO62ZPeAeidZ6Dj6qnnV5OaoQ1kMbWY7nwCAFwBu6R8Oz
L6ru93B8Cfgoo4z0NeSS1SjH58CS0z4LZLkdowl+uVk31zwZn8aabb+TkT61kZvhM2mLs86jDz9C
5pcn6Q+AcbFnuvvhF/OTG3S7uW3YvEt1CCfrEIY5+ji0g8gsxjMuJMr3br53JjLqpeRnk1P5Ulv4
5hzBGevvP7Dlrv/1SdR4bMGfIMa3lmHHn/v/s0MVqA2VH+YBOhPHiZGVDUkW2W+DOvz9a3FQ/rfX
shh482lB2rYWF/GfX6uWU4TEesoPVtIDX45OGTFk//ASf7GyOJTTGvKQkB7hMj+/RhSSh5SaZn4o
vL4k3o3ZNQlPmODlO3adad9CgUukPniGvAy+h3Y8T0/G6H8BgPOGxoZeKnZX/D2xOvQxm3josTqV
U3YrRPAx2wN4eT9KDiAq5lWM02hFs7W5SSN7i1n3s9vyv23MNEdYRWR3WpxbhFCEC1MI72Qt0dJ4
ldx3I2ojU0YfVs4tWEXJbT8mJD4H05KIxgFVDJx+SYLOc8x5vdlei1xCwlDzbylL/3HN13/xxPJZ
eIy5WIfB9smfL1guS+JZpyw/iJRCocfLv47ajhO8kfCeQ65AxHELt6t7ySwbOkhTM/YV2V0bcy/T
1dgaxKbsBp+yu7VFsQH79DzEpaJR5BCh1dsXHBI4Cn0LObGMN1bNSlSSZbVx4unJlMP7zIQfs8Kn
UXE6BE0Nx8gYYWmbTxMHMabBYbkHWLEHj3wNLLtbxTX3py5Z+Bq7RylDK2aT+am3l9b85JV1/5sX
6T9epL94SNgzlr/o8FO9/XKNhqBCxTD0+WFw8w1HnHHlDPw6mkA0vwz+4RNB/vnvzwljOcWyhnPG
/bdnchm5KKk7lBzE4G2RB6E28eOTz07lCT6fueCWnIGoIQpimaI7/xwF6a3NqAqbuG+vipwIb3pF
1dYjS44uedMCZXAZ/pLx3Lt3qYf6O/Q47Y95oTaqbN6zeL6O6XTOnGUz5jYLVPIKYopTKtTheIaO
0xFhPBZyzXEVSWnsYgywLj/KS/DKahNZfKEHcdQ2Wr6jHPpd6Xctw/Y2PI7ueP+jCPJz5JoDsZSn
vBseo5ZC0k0CgIkVpZ41D/hEyDqZNAkjqn+UibivjOikFKc1gUeAtvK0Wf7FyPg/fr/ckGXXA0Sv
m+3yGDWjdSmc4dEOlgLCSgyeJ8b+acVpiay72xH15cYp+erasJ6rGJFpjsHhBvfKew0iDAMPpUIa
3UaKmsUbOYrrVD/HYX8FPIcbp7BA1mcn4qNPcwa9sQ54gNs2PVEU7zOfnSUKem5Mng57aG9TYb2E
zZCfEmFdehJzmOtM66UwAhAFipfY4zOQpwupdc8S1/g/7Mf2XzzenHUsC22bzR31a6oA7tG4ktrK
Do0zvWOEvjKAuXC+4OIxJ2ESkrz+KLWLJeew9Tjp/Xjm87DdTQMakirm26pMAc3NAZrDBnABzDlI
YdCLS+nmW2/spkMqGoMCDUAjzdRoS95w8F4ZqXcL0DVEPMK+2M6hh3845ZTvEMlksMbE7fTUK45b
Zq3KtW1G3XoMEIKnLifrgMKQ/TBU2JrjgGO2E3ePbc8KCjrgWgNFwNSc3vZdd9VWF+1p9o1Mgsmp
r4aZAcjwiLUJlbwwZtyw07vdQK5CLnN1qA6AI9iXnk2EIrN7VPZ4v5zmW+eP/fV/Omz/0GFbTvbs
vf9ZOIEIpA6in0yMv3/PH7oJ81+uphmmHVZcNOVLYMbvzTXX+pdN+CeeeU7ztiOW099fgmYXM6MN
pJVKw3Llf6ejxnb4y6qMiIMun8cBBs2GRJnw80bpyYLBI5JosrqDrwNZrqu2IeqLjOHn3LA/IcM/
EAxTPbuZeJ4G2gqdM4Fn6GE8YPKdjUoe1QDFoQGtvQInah1Bw6VMn8xy4xhVjmbLq0ksA+lUhIgD
CxdZKGz18oVH27wacpL72Wh/sJsAHAF93PkgQLf0ka4xvZH7AZl84sL6ygfEaW0P1l7B08SwJeVm
Qrh4Mtt6XfXZ3dRIa1UiiV7F6bjY++YHkomtDQuns6an0z3KyEsY8I1g58nLYGIrgIcoa48w8Yut
IXfLYUj3TpaGt60ZiXOsEHRz7Iru2a7qLVSM6h45LCC+9KkbIZ+pcV5NlW0dMqd/LTpsW73qh02t
y/Etyr3gnAwIPpU3F0uL0d5bzYAZjEnKfsinZcKQjqSiqW9tPBKO1DGuIXpngfV3r7Kf0OK1lE0e
It8sqoZNPOewvNuceYTjQUF18mtWNbsWrvpcGHf+MvHrjGo8lMrjoOUU4urRr3huUZp8sZgqZgyI
Z9Fm14TD7E2UouVYkXSeQJJlzakZQ0B3cGkYVHmVPHdzET1gCtJH1RgtM46cdaQMGExWyvA/oW6x
zjqBm74yMiKiQX9WNxxqoktdpMOz78nmG9wO72nM4GGuiqIbNjbO8Juwp1fbDIk+Vl3qPnDowJWN
vRVYgeytQ6vc8qsTxZyuGIulT3mSW2eYZN7eRLtHe2Vm2A5uv0h2gVnWN04l3U0ZKcHF82SH7m3B
DzeyxNjd+OS6zoWZnyDQdxXBMjmjlyhdxLqiyKKL2ZLiPrkK4MzgxC+OhOq6QWySby0Z+U+xTItP
riLIYMyi4pNICnFhWaUSYgZ1A+ATCEnpwxemYR4FuwgBHIg6YwRFqKjdrB4mfwuVlLYoyI8mahYW
O05OIu38FE07gMK6cvVrZaqUY+FkvtWdo44Gfr14HTQtVxWY+AYN/njPBaTLiCsOR6Bpise+sPIT
SvVo78hu6jaEuUz3tATTJ6vzp+RAL4A3XyFzvP5f9s5ruW7lWtevcl4ALjQaqW/n5EzMYpKoGxQp
aiGHRgaefn8tyd4ml49Uvt+uWpJFiZxAozF6hD8A8+AaQcHPd7k/1Bdd7YGPlMAAdk1Y8ANFPyd6
V6BRulvQZDFqGc1zwvt3SFEtCjZovYZn0Zx2Psz7vnhqRJVe03Pr3tD8Hw8Cn8bv3tyiZTHUzc2P
K8uirAn34yD48YXjBJ9iMwCGEUqJLtHO+OTO7EHX6su/cJV28VIGtNxlGGzV/uL7GFtx470sl7tl
8PrHYC75h9j0OidvJIichbJedrbqMNwB7fr1x07LPMDfmzVWI/hzUBUX6Uy/FDe6+mZqDJEjwaNm
C8WyeHLV5Hym35nWu750g0+IvrunGhOeO6pRMOMt2Z7DFMs9Iu9B1BvQh7OoZouNE030Naeyf+uD
BNE7u/ZvGIosF3TUnDvGnuHdhDbSDm5JREKrvOircmgVIPaOtUkVwf8lW+UTg6XK90WcWPc10M4D
6hP1vcYcjTO/h2drnlY5laDB4qULIQVGmFOAHQi3dcbKLRDeL4U2+nZ+aMaTfmycUybjkVIA02B2
TZMxDJ9DfMggDhgZlWy9xpzmGpTnLcp7D6OOQeB79Ve8RfFAplOpwiunH27sKb6lb0jK0ifHMmv/
8iZ1oQBoob+isFwO7uZOIjWcHCgMn+K2YzJrz+Gl7/MDUbbd5eRNTrPUNP+r+q7nHMPdRtbDQaTC
v3Ob7BE3EXHtQ+BG1iaMz/wAqQkRwM5Iy+U6nRUWzHQ7cDyTVWCam9Z8I2YHknMd0/ucQh9SVp1j
2qxGd4dPZbkJGt0ex7Fotn2YA821WvFWxfC6tfNdV3T5KcGai2wdoG05pThJx/vWiv5Yhd4nF9LV
Nh8HeWOgQs9W7HzprPDbMtTQqKuuhAqDIla54LhnlRISSrcWFJPASbaN79f34NVg2ifZ+laOHoyc
hLnxmnR7qtD7ikEUDfUcBXegiLDxeMApKhmzptLLpiW/RLj7EfANCpNKn/J5KU926MjjRBA+s8OB
zkyVg51Ww3kTk+1Zdf2sbchblDk2ouZ2cI4HKhD1hbmqN0bPtij11iJpZZLxl1yauyYNg++pYyjg
k7a/Br6FKHGeP9D5zl4WeIA73nX8jdCB3NpD1W2iTqGrrSIXf5kVBuIsx+IYZ6sERxLaiBPWZ46K
7nXZvSXIh+2wj1iu56Sdmp3EF6On+nDA91Ur2EBG+gjDC/+6IOZ/YlvhOOpH4lYig7SD9FjBRBlM
7orQ8hkerBCChNN87zwn38EzPi30U+ghNS/wsnGiDZGkysT4xY4wk4cNaoY52siqDt9s135mqnyw
Fx09TqLBeEbm0B4lNui161lXyAA8RktFQ5zXkLFMFX8JM87hqpNnPa2kS4Ry4h1JQvjmBvQaAwjw
j/miTQ4BlQz6tg+avY8mjxqVlvU2HrPHLCDnx3QLaDAA7+99C/1bgU+DWN0hrDZatD99d9oz7Tmf
4lLulrW3r9EqqD9R2sxn0I/JrKQR9Wra8LoZm+lrhefh18kR8trv3XrrkWFtMLxaz4A6oTFf9in6
D0mF11CUl6GCY5TFlyif59ilOpFgzN+BmWKeP+zDWJeQW8L4qfdnC55FG25z6cA2WWtUutA+s3By
z1BD8lqXHVMBuqg1vbKNuwKn8HCCvK5D3IootyKUk71yF3U6esInvb+bcvQud2unkVzvVWVdI17g
ncgU8oOwa71L5yLaFqiKuzu8t/+qSse5EWXcP05tOh0bxBY++2C2NgWx8CxeFUZVwYQertukW/os
p7wkC2Oia53bNQEMeL0+1pHXbRu0LECVLdEe5nvIZRX6sLjFa9BBwejaaLpBlMy+aiP0OgtZtwft
gLEcwL1uyRmu5jrbu5CVEFT0t0W4PmdtCyArq0YURqlet6uAj5ziN7RHQrff1m3uHlbMEOYUiawW
9deNM0Ry7+Edebvm5Hj5WGPK49OGWCZd3GtsVI8YzlvPEp1sAFndd7jmJCD+0u9V48c4xoJhtyQs
y7ZNUwiTdEptKR1092yQyF59UwUYOjdQ/jedPXlPtFEPzIjjs06u94svg+s5dcSmD8FqLJU4+FPa
bQvIoUDn4u8a/KvETGsz6hqKcAopYrbn+RyZHMS/si46TTq6TGMNLNdDRxrEBwrE/nwRZSH8+LPM
ShCdh7J/p3Kiq7gIBoTxxl2GG7JoDliTZTHzN2TJeIW7CUnfbnLHmK6VFXMkxNpG0ELZMf5zwVQs
82km/10vPVKVnMK3zL0dLkpGZMnwUZAPndH44dwekMVDPBxfiBhc4jfU0KfRZVgT1c6R0/DzXLqf
LFuN+xJ7wC0koukeV7R1J5a1u44zXE6z0XOvem/9opm77dbGv0sVHbiMaeZdoiokl5WX3TCT9147
eoQoHFTrq+hEfzWVMOZSMX6n++FAAXbGq3Acmf+FgYtwONUPnIXuVk2FczlBiL2LSVWQQ0MEFqzA
V5qRjCrKIXuZejqeqdW6dO2j6Ly0UnwbMkbcue7gVY8p1KomZFASGR197IgOqBs8KAvTAy93L1ZJ
ol0U2VvgTOPGRaH92hfGydb9lhROdxb1qTpfkBCodnAtSPpjLFNfbSjQb0HuZZfMcTvy+M49Sh/N
pjZT9/Y4KKA65DKMncc+PyGYHQK+XN3l0k1b61NTlOtnNA+Kqy4pv1GAAvmqHSTaofis3gUKe1gu
VMk3XZac+pYu3wLA5cSsqO/3Q5XCoRRgyUhf/J0DEO6ujzC/Jge6k2nm3chsNXLaTN7ObYiuOICs
vGmI5T+BfB8udCOry7Wg17zVS1/c5FhSeNsViYZXcJ82fDLctfdGrxuwoGqNfnCKxgVmxCp8g7FH
4BhjTwAIjcPPfRvgLiLL6nUFZQ5AkhajRcgPVLUd7Kl6gMdTM6Zfwwsc3ep9R2DchWI9pUuEAM9E
kYXofn6dxsP0jBmJOPM1RnkbzzSt2ywD8urw4Tc6JimBOJBQ+Kaqf8Bps8VWqWeuvcp6Q/bcr8t2
Tiec6c5khwZxq7vxr6Qry2Mg+/TYogp9nK3qez6jjIHNZED52F3mLcjEJm5D/MTs8RaSCeT8TK2g
4TXZbYaIgBfX4a6NmCujthvhN5E+UvhFZ4FK6r2VleGp8GER/pyq/F/X5w9dHwe5YbrZ//+uz/UP
bdjtC4VtWr1r/vz61n8iq7x/MIrwmZT6HiLREGf+t/nj/kMCucLjV7gMxn/0hf7Z/EFTNoT2anrm
0uHb+K5/0mYk3SSkipG5poVjIFb/TTcosD/2VRX8HEa6KB47oRGdNfPJf5tgB/lMsCm67DhjQIRi
uzIGKSD1aT44Y6uoa8fGrhFQAvp/iqDQuafKwcYMgwG8PLfOBC1sL9e5zHecYLE+WkUtkG1oaC7b
GzuR3VuZehQvEV0FNKzFde0x6OxdaKW4CWT6GSq6PI2poNCasoJzNi8IhiVc3kuFI+oz6NXmubHX
qN2h2ZISnioRXorEcV8ghonrkilyZQRnfZ+pgRM2B6cAarrrcst8C6U8/PYspVLWvXoaJLMK8i5T
HqNNNN/Fs6eeSDrmuxaS44nsqvwxwAzam9ip6O/XXluHsA6D7q0LqcKLqqRxIRKQMxiCMIqFWU7l
j97AAGlCcRuNckEsOU7cHm0hxQMgBe8lcJjt1rU1HKmi5OM6MUmoyFOOkDjqbgMZTlzHDr3mDarP
9CF8g5RCEheNxUBlSDU1GJC+ZWQOaCe5SPGn+Fc/y0jb42aWLf/MnUV9Udae97LEfB8dCC7AExNX
OyGAcGvLGNfrKEHVfJA+McxXM3ft5nxmmMvmuchs7l0V3jpSVtqkoi4c/CoJkmvymuwSpXm0N6cU
PYcoHU9QE3BFQ5zE6Pib9QS5k8WghUo6KuxrvvLzgYIHzeF/ppF6cgbzhMdlmG95pF33BTzPMl9O
iGGLszmHrHtmd7BvP1mAaxBph94JVm9M+DXsQDVsvWJgXTAv5RqT2YJhOi3Y3GNqH8TpQfcABhDY
LRP7c+t3Lsq85WpR8k7rXwmKwPHGHiv1tBTTXY+2537Bt8fdIkmGwpfTZZ+CEeVuPC80kz1ROg+V
ywaEwWF2bclGz9FgiPa4RfGT1sjh1yAxzaDEbKIfHaDER/RiE/Qju8FpO56skn0gd2rxJLRXMbio
WQY9uipxx+ZDZzk5ixgGIHA4NZzmdCnind034jqh5zkR32cecN3ALqPyjWnH5MyflvOKJmG6zRWU
oB25I/tN8Fpe1njvuUfE0GgpZaMjkZyRXHe6DrRJStPskDbiLSjOlOyYCMvDt3l2+cgKxcR4M5p9
sqi5eaa/NNP5hGVbetiUhKLjh+Finh4YiKsd4vnpAc6HAignmucWz4SnH1s4tQLWN+/qi9q87MZk
/Tnyx5mp08CSTA4tq5k2GmAKh6ZaktERcXxXPeEtysL1dSPltilCNsyAxcJFgesfO8C8EkPRpAcE
IVg8lF542DaBIxWpfl6DFtCb1xg5zsEXDy72tE9WZoM9bros4WTWDMGKNuDlBPcGPg1GDboFHsnW
lJbcjp26cJFnHqi2F/5VaNtsMPAEwB1zVG2Qz3BpwAE8PaAPTQShqS9PQVKry6ku1OWqUcTY9OnC
T6hRiqIDhh8NugcB8PnbTI+49FpttxBPKXrO7KIJjr7X2nvUytSlp2frTE4J3JC5zrlfCVRs2q/d
MiQ7Zs28YU5bckG4ftEicuopuVu6ubmiuaV26aLTA4B4Wn2K8BxWuUUzSRT8HDi27gk3TBj7PSHD
tiPx0HvNwAqifHbXsNFpgSe5fs7tSDOV7WLQrYnzEEj2vJ/jrrCHnNOu951SnnucB0KkXLnhOc/Z
UZbCP5MS1RIPEbLZzXlcB8jnyYqG+nlJCnfI7DU9DIBV1y3ieO2xSCP3pUsdQrOIFvZUxPBk3Cz+
ymNtu8J7sXGwBFdXCfGgwQ88oGo24erSlkDzS4glGIF0dMvqil06ob/j43+mxXWK79VDWQquJysB
9e1GdH55E2kbL+du1vLjkWvu3uK8pscJ2PIWeTHByIy9hzCJyC4YxLfHQQRYr/7Y867j8k02Yq64
x2iz/5n/Y4qVjurJ87AP2UnbhL1xErr/NOKgN+/ttCO+tV0PYy2RZj8q08prdKiesL/iQf4MaVkn
UhhZwcRW8iK68qcs7PDc1Gi0wvMUlrh1fd6uoshVRhXL8spi3v9448oxdJ9gtc4AXbTXJvsfkbWu
E+FjBxPqJwGLoXqaAN3mn71JEifgjHGhYpzSg5v03osq6JJmgy4/CQO/xQPoDQ9odWqbxhwG2jaH
M3Z32NZgy3E9rR6BrCB/GLZhHTYCoHFSieTGWZLlSPgBCHwmYujsySZGwAU4ar2qi7LqejC4QTRT
8napKj6tWYExeVoE4RYtl/iJo7Q9Vr1X8ogqm7cmH2ZiLe8k/HNCDHSSCarcVurWf6ur8qmORXuu
opmsfrOE00weItsHMI3YnpmDqPOr4iFd4uaCMya8FVVg08JoR4nZFxqEWoj+2kOd+QI6dowAZJw8
poH2MDaqoq+6d3aWU+vLzlbetu0DOhJ4pgGNKSEMTce+Z+qVDA2aabR7olucquutUv1n3K/3TdPp
veUH6hau4SYrEXpjXm1/XvwCvi4S97j0nbCdLomqGW+4C+FplTbMosbGGhnu8Iq8Xdej5elrNwNZ
4pRHAX0zgYXWIOHm5nKfV9DZUEhc9/aAFIKHxicaTsG0jAjrNeg5LD7SL0fFtmyZJgw4jkMTUxe9
dNebcO6D8y5THHPprI0fLqCUchKPrhixQMLp5IYiKDwPaHSdFcIlKUnCGqA9HYCN3cxIXufBcIF6
jn0VIC0vN53lzS+FW2ePEJMf4TTp4rKgQf1J5wj2WchyhwDVWrUPGZL91S2tek1CTK66CabWyibb
afTLkCBZWrTJMnW0Rz2eLcwidmXYzKhcusj4wvzNrsI2yZYr1st/y/qw2q/DFHGOI+cep9OjMrqk
6OK3hyCavo7RvPUYJ73G9ETuEo9Ok0C5aC9zWIuoArWfKDDBg6rKp9tVzt+ywXmwEBPFsKjrrsI0
WT+V6+Jt62Ao9zWCQIdIjcFlo0Dmxbp70Ir2Je05MqNdV+r6ql8jQhQKQTTukmYXkzecD2Urzh3c
tI+eqrtTrgb3soadi+bWXNGA0949EmX1BjJhuLNQ1dpkRCwzpMpvXfycoQCcW2subjgEjAo42hiI
JvunAqjxpxjBHlkBd3Osrj2E5oSg7UtzJUYKEStPnHTSxXruIgwVM7ALV2vmfRpSRBzxSrTv8jYL
L+ul6B+d2bEul5JZJaJtAd/HfNV/7ccCuEMEau+8nyuNQk1ff8lI30nvhhIb5Kx08gfk3cMjUm3W
te1rZGN9ETC4dRkYI7yU1Xl5QgMueAGA9WW2NNRDSBbldmzbzkhHu8jiBhMYmbUfDnaU0ymni78l
+Mdn8PY4iKiDT2PlvTVJ7O6cXsBmbuzCRCtxWrJWvkQtchXA5Lv5Cxnxjuy6JRNM7eqMHnm+6zVe
RZEmohD5W9gitUjhejvB0e5meUB3ELcBZ0GvcUJq7jIZrAC/CgZxaiCQhC1r13u05qa8EJgvFS2m
9QEiONldSseVgVNWusUxWLsxfiP4x/skc/TZGooGkawR6as4idYWX1QZMTZJLAJTm/rHEPvCJyvv
nJBjL3Jg/w4iOWtBdLQZMzlkquurtOO9SBkaPiHUVZxW3D/hjCz5fl37dQc0jT9mQbr3ncJ+nOIZ
PBduELVrnaeeSfwIpCU202ghx5e0g6+Tse8+G53Mi7INQVhVqCiSDdyX8Bu/oKkITRcVuKg/z7Ve
UNDzm8E+lTkarucWlDUHfU0aEnupwG5P9KAsMqeYwi26iXo1kc2ipADQL63DZzqzBHWsNCba8Rb4
Z5wq0H9Z5QECHISOrVMgS7uJsQKYYsQK7UE+h0nJqWvEaGGPpKGMocNGXnmh7Zav53iZYoHrlX3I
7nEUc3kcMugvJ2Rb1QRHfeOPLmdTqptiObfFOt8taCg9kIsW21JP8y2+huRn/1bx/weY+d/Q0FDk
PR9OJy4+KFgAFf5QO480lstWJ0e6uxyYMVhAY2I3TW0Asi6VXXVP7zR0T0vNKcpIpe7y89F1xrvB
HfGyTeB2PNn2QvKOGyjHtOjJqq2UnC52V7KJNIaUUUSm+dya0rNSdtECGYso3vKgndELok/x9jNH
TstpvhtWU5RUSzPfJVEKMG7MVjBBHCsvQM7ALa3giWlsBQ0J2e+Xwwk+AkuEHzjgVARlDGiVj+Dw
RFg6XcbAgvLq8UicGqL3eTiYzKuauXr2obpE5HS07itnpZaby4TLWnADvp8V4vD3scRGgmktyOGs
cPm/LBa/zqhExWgOk+FKBwz6ZmphaV3SRozTYx1TkG+hSY3xLh4ZCK5LyaczS6KW9POFKRfuUuXb
72/2B1Ty3/HGSngGAx9ICCx2ID7y0kaFKYu0QNFUaNa38N/nASiiD50EzS7FmKZqSnSS506/oE64
3OmeDoNOqMDTem7vykr/YfnFRyS52Y0GbAk8LkCL/CO40/IM4IHTHt0si2TPt3xasjSSnpj9k72F
uNWwcg4YDVeAOGhGqoJqQrr4IPBsY1bcNaZyohz5/VJ9RDLTYaJ5jBCkI52AbpP5+3/rMA1JVIB+
TbNjVCNudVbWtZw/ry5T2S/ugtzF3i0VSXtdeQUCV8jOpoffX8B/eFYueA60ggCIS67iA5Z6SoDz
rk4fH71ZhXSWqy5m/KJE5FwLq0tiarKoOaQyTWKIYdFa7RpUHq7jqhcPoT2AQKlziq/fX9V/WBYl
Q+nZVLe+G3zcQJUcImxw3PhYWVRImG7OMXh8JKMpXODp9alDgTCUKzWENcbN8+8//Udser9/kdQP
ffMflapwP+DlqyXIMS5ZWZOloGOQCb1AI+50WDIng+vuoVsL1Vo+5EFknYSpUisApBnGw7pxbhiL
jvm6sfM+To69aTQ1Oq6yv0BfUepXknzkxwX/Xyf6Zyf6G9ZY6LjffY/TunpH1HV/iz58xBbu+9v/
u+9f+u/d377vVxPa91FukpIOdAjBl2f9ryY0cesfHvwChk0SPRoc/v4FQIT4C38qIJzQGHZoG/9q
QIvwHwqgBDByweusiPj/TQP6wxlqPhG0JIpNxAazGT9GhwJRbTCEuICH6DZx8DmNSwnKyHZMV6rs
oclfXLK6DlXrpUMKoXcgwM4IyEb2a1y1Lg0anG/y4FyR5w9nOfru+ogfTdFdFV7ZWMiZoDLfvHo5
iLv6zPLhwcttHASu+B4wDBzuCuiHxUsYek30TZZS+9exTyIh0XAxxfzWRTO0vEEpp5+YWBcexuyb
GmhPeSmgtpizmq7DcgFrkv2PKjin9R9C+/uDlaPURssGOJNLpmF4bR/iVwBWfkioxb5HU41V1BH4
UuEeC3dEqOVIr74HJrmmTZH+VdgRrZX9H2KF8+5g5/ODgMGAw4TCaGtxMe8j+JrJsPNtP33LBLYL
SC/X0oNPp5RjQaJu5ymGrNomfexCMnWttaluJ7D/UIOEa5gm5yS/ldGUrjWaR9cKLSv+7vcXaXKt
/41nYGullAxZFIMbAj3b8v01QnzGVaqV1hsCK6PtAC0I8L/ak3310kZBrvf9rzlChf3p95/74dmY
z6UlzGiHQK5Agn743GZA/6a2ZPjG3LugF0VOWHRfEjdyKk7bLB3SmypK+h4CTlIz6dn8/uPfg3nN
bXO0Ck5XBRsJTN2HFDQGb2jZcyLfKKgCjbT7ZPveCy+S1Z/qFZrSNTKgtbiSuV6G+7yjrUlpmKQF
i/LfXkkYhBxljKzg6cMZef8AKIWjIlvs9s31J165/SJ8IBV7r52GDmUztI78ry3zGQekph8E/lfk
wBgwAVRgYjv94am8n2qxLMzc3BC8tFGqc7yPnoe9n8JOhq77jZF05bWHWjdlBJ87wt5uOSB+NLNF
fn//H/Iv85kKnYIfLyrGNPIjAy1WlNiq6a3XJEVRzmKgRtmaMA6pk66mhZe5WPqmJYKX6C8y3mMh
PATNhvuy8aFSV5Zoq3uFV31bnWmvbh182tKqe/39Zb5PO9wAkhbsKNulP0kMp7v5/jHRNQkpqdb5
dW4hhjOhG3Kb52PPk+TIn1tJdt44uTYvDWR481vaxMMfns/fFktQK7i+tH3FNNMltL2/jFA7Xb90
fm20uC1ieEb0gng1Lna/eBcy8oj7HdIP+UuZebjebltsIYR3DK3MgtuhE6KtifxLwndVKUCCC3fO
G0Zbv18u4975Lq4Is0gBE1zYJ+DTP/q1znKqGsV0/7WjUgfjmfVdUwy3CIenTbWdNKaYcG+DcuTv
sOYrgbCG+bpY9xMw4VOnWkyLUaFYbShJeLdC5qGI8yNkCDzbKpj3q3hFeVoiQAP81MoWUZ3bq2JK
Bj8pYgT0h9dUvCdlEamozwwBgMkj2H9Olfcrz86s9FiNzdcAybLM2zZ26LEVowi3m3YrIFIS2qPl
Z/Qs6NwDKvwRTho84fmreeqlr/fDJP/8Drkfo7hDtgHDh8Y75k6muH5/cUg2dxS3dfO1aXmL9E52
9JOuHJHI5UJ2w8JyqGgs1qcymZcl2CBFiCYrvELm0Hexxnry2JZuhqKCNXT+dZj6JkGY3bGEVJcP
nnk8dScNPYhK1RvvmjbL16e18HMg6XZRmEOLRrXFA6rhWfNFSc8GgiCGJDw76WWAHzfdiv0SEHSM
yLq9Hwzm2dH/SUkw9I+Pp8zAa30T1jOsd7yZhM2VY3hicoO+8cr8ZaZTDZNSja0Y711kv/rLts0j
1AqLsnWM3k5Uzkcw5FP8XIUVZiqjPQo2WUD7K/tr1BWTsj/sjY9Rk9UPaMiJkArS9zDcer/6EqBk
LFRTfF3xi8THZ4a4wpRwwu+yOJnGD4Hi96/Xx2hEu8CFFcO5bToGf/vErrW7ZCrl9CzXwWzGaXBN
+HO6IOfw9pmp+F+jTK5swskZ+i6+QlsgYJ/+/jJMOvvuLccg14dd5jseMjgUix/ufJXjgCmPXz6V
blX2kjHk4Fnfa51oolGSd5UAexPU6e0IJZaI0yAgRbsh7B3E1SAJT3ht9E6sL4oo9OF/tkUIhm8S
/njXh+hgbbW3wiFgE9G4y2w3YrLiRmBQeNkTm32IyDjZxSnK8t68+SPuVTcAQwKDaM1bOY9/qok/
xDVc1ZgYAyzBY4YU/2/1X+5H2LrrLngcB9g+aue10JovHNBi7Ft6PC5mpAIlR72ZcyX5Le5/ZLYW
At7mrUDOwYnuIzrYXK+j0xWOA+6D0oRIDRFW7DWCpIb94C2YXp9FE9r5Eox+WPJ2BkLzGv3hIX6I
bLALQ0DShtFkyn3Au++3r2bquNZZ5UBeTiTvVt/E5gJ6Sw7m1f3xHtPMWbi2COgArzix0oSUtsF4
+8VKBGm8mD3zpVrnXf6CNBd0gHQCEACQc5lqOMC0kxecE9B8RnAFCH23z62glfsmZMrUMW+vGm73
D7f2Icvk1hQyZxB2UeP36K59uLUef56gGOrlEay1iVR9q9la9NDS+ltvh7lx/AWFtj4FTmXOx9Kq
BQ9k9ssiXsBU+6KP9wjQDNMjWWrLcsB9kew+Oa5EE7TiFVvMnYrGRLeBsHlMnWYirPVkJHxg2kc2
f6LGEiwFkocsRQ8bApYQiIyMV8JwovnTz/UxoTAHNvUvgNV/aLd+eEdD0gWyqwBuP2Unnnsf3lEx
rTQdfG094BGJMNn+Z3rrJOE8wmwJnSSu/hQWPhxH5iMhL9sOQAL+I2t6v6NsHCxdv5mDh24Q7JB+
6Q35hrOf9XGzxkXzM5qsGs0+5DgXFrwYo4qUhaDHKk3tXPS3qClCet5HvRsSDHghx7u2YIr9AkyG
F5/xCgfVr8cG6qpiKecirHhXeIvM44jz2TwIC6tYflNLpsY7uy5rrsQzQ/gnvKNMnfr71aYb9D4m
cvPmECBIIPJFFvSxsiEd7KzYnpeHJGGGiTDxAEZoG02wj68ZVrrtstNJ62PvrBxHZdBZW53qc7uA
Iwcrj2zHumjj0nKvojJB0FBP9Rx/Y/hrH3FDdX28yGDRvrlZsdIPrf2yfZkgeU037ijseT0LM0yg
QYeSP3bDfpo8NEhptkdzDVjKLsWltFuhED5vMWbN5n5A5wYlFI2iZVKNLYKD8ZyPvAzj2k5LgQgf
firZHl+Swb33i35x4609C7rIQKumRETkb1Hcn/okIDPbBmsxrStlLVuxOc35Eg0b3TWZvx9VEGO9
Ulrz+jD5tZM+YUIRR2fS7R2sN6hP6wWl/x7agkqRGmXGUcTHwJH9ma4xjLmIkMmzD2ICw7ZHsSNM
7F2DbL/7CH0szi0UlcFtP8z9LPsr7J8r644TIxjeQPn47eMajHEF6aauRdJ9UrhF5gf8c0H5rLUb
lsgP5rV0km3QgtIPX0WZhdVb4jRYn56xVRb9XQ39NAFNLiY4Occ+qrQX4ultewgdRaWFKzLkNivP
D9DSna5Ivichnoqs8gxksXWvwLpCNNuvAj/iBEi43fv2rqqQJg3wTIzSpDCOdbmOd9kY99N4ibdS
bGiebjkN3l1UOVKf/MxN4nDPXvFB2gJTBuW7LbowndQGry5f92dJ1KI2c5oYFSVQzNOS0wbI04Qj
1BluXYP3BTgdzpEnNsdkRdtJkrYA0GjIuhTCR4Bl/JvCQaTHv+l/ftFKU6APIIqp6sH8152rX6EJ
KgfWpd82sXMUs2UFwXbJvHwI8OfNRAlvzx3NuWh7VsrtxNLjUHmZI+g3Cm3TRHkxJIBmaoJb9Kqy
qdgHubSc5pQPiwrHGz+TXqo2WinTkwhahHvyJyBNkbVeuG7RsVLWognZV0RtnXgXlozaoLgE25SK
4pZRGtqXO4Qopy7eQX+QXDshy1zSMlqF7eyYZy+pPrNxn2hp66PH6VVfHACMfB62jko9gpPWIGwo
vVlZjJRSTpCtYCrJD+H6SVk2qNqanB5Rce5+2yQCU919lkxmxWTR5/yGA0fP+KYMTMh3R8gfWHJP
fc0GWCvyjUMPMoJ/1/y8VbAmK8uns4D/cZZ0EZ9WJMKMgERqHo9o3MTxPotiNutcuYhh9mfWYLU8
CqvKw8T9znxcUXGAfCTT2k4hvhBYvIWJBzuSLT/o4Qmb0yGtWC+8H+pDMqyumK9CBGq5lJQn3az3
PjuLT5D8lX6NrNlsML8FwDSe4/LB1xCTMEszjghjpxyxoZ64hrHq+Njtr/tpWyn1Kw23hK95M+rj
97nnRhCF8K2iAQRQDRSOvfu1e/BBVPzIILPMzUX98mMxEMPk+f3KcZW3euZPsvMQA7cB5t//Wmrr
5z//5yL//Hd0Cpz8KnAa/EiBn1rJ+IoCQJO2h7SSCzetHbC4eCQ5Mk7tewrwuEbR+OeDqtexZ6tR
eQ9tfKqEWiJvI/JkXHxU1eFxrvejUxb8E6ehx9ZuaXNE4E1yG+oB9jhYdfLFIohtzKt+rmDd8AYR
137eU+Kk1GhAVyp/EkcAOKY6t38+2p/bw4/ygvUBWMp37LygMDc/M91mnwLtMR+TuInPF5dagzl+
XPGHHvpz7lSa5f25kVbQiVwlN2l+ikjbju+DQy/ZXUCOzKX/XFALQ1H+gDoqYvc7y/aqPDutWAbP
zSE2TSQbVfeh5p1WWWw6H93E803HwNGvwo8rtk/nkbFy8y2oEv8GZJC5uNoZzW/QX0J+Kwx0yUCW
PXP91QAvc3oEX1TE6b6Kzbwz0VLE8gghLBD9hfy5V9IMzl1w+LXkKkOQzmYEJBFm2XAC1Hx41qQ5
5/wosMywH8ncshB1bG0xJ97aXRzx4WCAakqmvmjobRY0DGjZ8JiS4RTUsXmdB85XvpYvAzaH+5xk
EYMWqbpiro9QzWzg0YVyMcGBAxjTNhRKDPz7pNcdv5E0esU1cu/8upRwYL569iRoFWl6+cX1mPcR
TQEGsny6SOJ6fDJMO6qAaFnN3p8UoTzbz1I7RBhQPMUQ7oqSIxaGtVVFqjthONGu87MNpY14E+N1
lufHX+3krC9wMNsPSUG9+21xgfTKY5MlLMdB/nhnNFIGLFiH+Fq0Pv0Pe2ey3biRbe1XqXXn8EIb
AAZ3QoKkREpUL0uaYKnJRA8EAj2e/v8gpW9Zsitz+R9XDexaTqVAogmcOGfvb5MNXw3tXY2YchAn
7cdXH9HNcoqwU80Z3wiIWeNsxKwbrHKtspfTZ4xyuWvoVy23+Ef/1GuygTNgdObyfdsE2KhGou1U
8/N1QveRYLh8pq8M4YGcBBhnySSKc0saip8Qk7HsYXuna7ivPposs4GIJMQ8U6uQ1Nuwnvkd80fr
LWRbTtewduyMFmVoZGx9i4K9E0CFnMaEc0COsTxPrU2oOaAtEAkslZYIJ955DflDSyCwhUU2O+nw
xnN+zQ68YXmZ5vjEnQNDXr7l40B5Btt3gH8ER9K30qVJWXW87s7heVuivbJpY00ED4WpNsVbMZC9
2AS0LvAyrFyaQOLJZlDPlpyXIfTt1ayh8Qq3oiyW10ZBjiJnTZm4g1AbvbeOEJ/SibYSPbH6PWLC
InSvMhRc2o2imKarMEtcRE+st9xf2iBnzkAKU2O5jSCOsvizvVy6VOi9lgYy851qkE9oK+PaeIFG
KfKjELXEHGibVdNq30FipmO44Y1m5c6qgTWApNvLDVfd05EcsvZWj+o0itahM1kxI0uX2qZ+8/sE
8zCyKY/WxE5lXV+QJ2TOTXYPXtREstTxdhjZ7KPko6Z0XcfvjI67vEh9c93zHzWXFLWBydQY/Pgm
H9eyluSJObiBrWn5Wu/LTZ73y/rnT9GymlD9Lw9v0hTLT5Tv3Xvc78t/cwxd4ydw9i8/GFp0J5B9
M1Jcfh5bIY9yRLUYHud2MiR5fYO7PJV+sfzJj1uWmpKVyEfWwB99tOCX5VSL1mqcQOEgIFe6d9nF
ZP5WkGGBUz8xoIfqcDrU5fKUR9q8tAMb5kT8y6Ysa0/rWef+tnXmD0f6lssnzxImjdjz3w/kKJ9X
GjJjLvbHjq1M0tlF7FbKzr7C4LR8P0KFlt9cY1HhbtDyemlCNkoo2w5AkdekHMa16LSbLnEkP98O
TPH6fWJGSxkX2yPHgByxfKzu/YHTqoz3CGwgCB2UMuYyZkTtMC73pBsikkkWY19ZYNpPc57G7ccJ
oQ+8LHrENC0llt0YWnqITcLbvF80vr5s6OnlsD5wB5tLmo7xl7Zy3AqK00yaNzERCXxqNyI17UYN
mGOOtWYvTxD44eXp6pN6+ey/2N193tsthxfLrAYdK7IlHtzPG1vVjRUQXpdW1cfSmNIDXs4/A5X8
+PNDfWk08TTpcDE5Fi0r/vkVNzOg6fNCSsk/7hE9g964rmVo2xfkCS1X30c7z786LKvcJLayuWQ/
Fseff5bPLQRH17l/PMPhyzMO5/YzP3/tsLdM2rdpdOMvhq2nxCHWu94S9oFBg3i1X5/nvx7Q9H0a
BwK/Fs1F/0vPIouVbuSFHl7XY8mLIsp445+6QFeXtub7k/3zL2gsU7Z/j0GXb0jvVncAkpI6xDjq
ywHHHEVJ2ebi+seKMcSLpRKdoTU5znZEU9VvUyQu6qobrAnaXFcu67kF9edGa2Ys87/oyhmf73Q+
EVsplPSMRjEI0KL7Mhec0CIP7mTV18CwlodqoK7jGR+7LGRdT7w+4RLEdgcNIfCh7/AJCDpbPgjs
vbrDNlCzs986hVU55OWytABormXNj/N8hAj/gcxZ9Xr4mGfJj2X256f162Xkwtm6pTtMTKDceV9b
T7x3kYaTKHSMMZVxOuf3QkiSPtxdkRCIsPefH8/RuZDL/2ADfzln7kg1YqI8Ov547Y0QA9KVXrGy
VouSPvpHrTVoroYHe4rv5yH6JI3ry3JgDSGdaBzjx4/XEkXycjVImua5KBussL8CyS6/8E+36YJy
p5/JE4gexaaj+aWfOUzzmKjZyU5gmKkMzW5RuNaTgMD8D5c6fjUHsECCCs9mp0/w3OdnvgjNYuoi
EZ18lCK9Q3eE+8iEBferEfgPKcafvhi9Qg6FqhZNFUsIbPzPR9N15jIuFIGdmgGO48l2UMtTg+vk
9lXfG7KaPLGumojeqr8qQpK5xQrJP2GAB97WSHAiEkAlnZ8z06b3oF8WoRNF1clEbeBUR4A8mTFO
69Bk5PTY1DUxmxt8i3ZJJFOO+LMFkKGLpkBT79BqI8HTqCxx6X/M8zLBZsS6CMvCqEcCZeOejB+K
HJEY9ERSpBonbDRchGe5hmq8DH4UKC5hWtwDIACWW4EK3eNlId6XsY+tRjboLN1DXJgs3WwNlzJg
6E2NgrYyPfYJwKz5AUos0blHC5sPv0D7WAElw1Gedl1iyCaNtWkLA3t1AzY4CYR087Rb/dHyqHlt
YkX4KGTeKygmawPnd6695SXu1j2dJfYWmTDhHIFPuinADFAp6Ewrkmidj0XDfop+fp7mdxZlr4/L
cWp9mzQZoRMouweipOizTh/7MH+YGqsOYuTUtF3pwLhMGVZp3HoEXGpdFQ16saot1EPmpV/7GHow
CKAZrm+diST3CssVfeEyoAZECHissERU4jaRdJujABEScoJtrLClpOvCoOj8PrH1bLy9I8bBfDKc
cWq9I22zUF6VmBwI/0xLhNPshFk4xhaTCoYfc1NWE9cWgo45q2mla3QmiEiedcPx1hNxYsNZ5jct
IduMo4eE3bTvKeaiSaw3O1uHCfoi9CKbkPzbFNz4rNyyUA8lnRetWyF+XkZuP9aimnl4JM68gnU7
3ZZxLkik/FFn0fhe6sSpbJeXzsetkb9Xg6WLuJOK2kcRgz9f6aLAStpgF+NjmBn0hyHTeh9qJmbb
G1n6GhwOIusdAE7RcONMCZDHKRnCXWL31kmiW/MpOdP9CZ2M6tpVAgyx78RHN4GaS8+4V7chN/WJ
HS3aV56++CVVMn+I9CVCB+kne9HcandsdmkpmfDGPKk/VRmPYzlIcQZaA5qdHZMmUOvakps22gTD
J90FFqZW3/DubjfehCmLO1YUr7HsbqD/yYOytQh+SdNunIYWNNqXCINU5wP8HyCfybhmri+TNwIC
QixiyIUnuywDJ/TrvTebxRYiAVNg8pxIus68iVzbtHS3A7/y1GM/9qJGoEroHsK3mogmUo6NHCKd
nzq4D/TqRtr05ol00mti7awquhvG2XvOtdJhK98Vt4NnJhvdbPU9mR/goypNs85s2nRb1TbltwYX
zBXNwwS9Umv5b6BbcDO5hjSuezONk62cSm1jNEV73fQ2DQeWgqBB/Ly3GuwJZOdg+QldH9zXQ9Kb
/nSKAqF7bUw7JUOwk4D7ogR56aq3HO+b1zpuEWihpvaFjxwhsI02vRp7K2OfRDa507Tk14ZeXD3r
aSPPRtfWD40wljs0dJYZatQP+5Fy9lx3s/6U7jcGCAB2JtDeJH8zhgHT4IwjI2bbLLXHQdbDt1oj
AspMjPm5aVIy130S//b+PDfcuXGOChbFlOoCOQ/ZuBddBLBFN4DcTYbLQsyWCiejBdYC+kcu97hE
1NaUnQmxjsAlOr33zjC96l1IMIDB49M3XRvQWtSTVTQWvRs4U0WqrtuWRxnb6hGtPjWZzngbXkZH
jgSWLtByDqyYzrKfmUxXK8vMyx15IYC09aK9GglVumrgMGXkObTRXR1P9YMaJfG/9diBGjEw5K5S
Ph8TV4+eGw/eGBNAN3rDJZQ+csnKuU+fMUri4Yz0gjAoUDVS9saVzxDhVJqLd1Xp4Z4ANPyanhjP
Uvr9PWMHG5t7G7arEP4EO9IuOhOeBqIoNzL/WWkUNYFHfQbiJW3qSzGIbMtCD9/NT2b3pDWq+BKd
DtqOIVZ3wCjlrsf0t0tlL56VBcaJffLdXBezt6sleeNpXUTfJk7ILm7drgMzoE83rYKytlJ2zcQ2
i0BQx31/KgDX7GrqUIOM+Ma/88vWf7FGad2mKqxe+rmfv3Xc4EFPTNy5jbBgp/OmCOqxbm+oL6Fs
DGV/hk83e5pxmgJrxqO6LmknH2OS3XmXjaxIepp49IOcjPhqBjNr2ZTpLnM6dYe2y+LzE7Nr6CWh
aUQkgzcI60ufPI8TY8r9m6JQMImblIxGlyWXbTBMwtLW273q7OGybEJ1qzzPfoVjxeJg1lN/tImT
26CdHC4Mq+0Oo3KH02TATkLfxit3ISbfgO0xCkvaHv7prKnwjBBMdYXNOb7zaJ081rPX3vLCj054
2Nzz2dBaNEwi2eZ+6Jwx4TZwdxd+HnjzBK5fR4u2nSOtusxowV9GZNfhzJK5vlUDyAbZdjY6emcm
wsS3uwNCpYzuQFGRATP7BWt2gTnWzbwTg5nfmmBS+8LrI4vOvNLetNBEg3Y2kY+Z+BiRR2rdwO1o
aXtnmWP1brvRwS+BX8t9GZ4Nmowu6bLkRw3m+n3eqmf+TkSjNzHuiUvugrRz0+MIJEGAujeSPYmk
5lOnhd2wzuNBP0fq090lZt/Xuxgejb32Y8M9YO1X3pZ8OiJOi9iTAXNcsE498+7A82dwXgCE/H5V
WGF5rDTm/YdJq13OtdCHVp3Vfs+gxyD+cTgtQfZcWKOtXbmln4AAHlVcbWIQ3tdplPTFhpHvRK5d
gvk40FTpIEIMQ0PbuX3TzNckKqgu3i2lhx749ViBuuSsVUO0sNQ9oXJIeVQua6fowv6cbkmKf6sz
otvBnQEakWcuzpDrhUYwGJSIh5aNeHvvYGT0FOuIkq1DSgPOf2RFJ30r3L1jjnqZ3oKSD8lfm8Z6
gc2ZLHY6lAImArs6n5YQ6L5xuhsf7wjoHTPKfbUihyUiWYnw1PEmsVDNYCC386tqAlC8G9hopthm
a1M/G/x0hBCi6OOfuznLaYBAbsboMSf7FCf9Gr9gtm+1aWzSi3zShD9bnP5SH4uAPk2RLSotaTog
2ls79dpgElAxiIPumornwWO8ue6APhYb2+iI21ziWzCDl7R513M7kloOS5LBj9sRTFEmtoOXlUHh
eZbQJg3SMRlPrIj8kEB4ekwwHGGgxmkWKck4snPcCTYs02/Rmu1Rc/yR5Pk0xBTrYsSlFUfP7t6Q
mnrrgUsFADjA2lZVaFi4kGITUzUlXKxVa2bzSNEGQBHiGidp5VKYdd6U5GtW0pYfqDDrjskri1Dt
iU0scwnspzZGf5MVGI/ijTRJqnPODa0X3R3D3CI8SWsQolHfP81zHN1FsXyKiCBNIdMOxc2AtmMT
eqHawYCqdRYJoRh/ufOB3NH8qCzSo/pY+WtZS2LPXWSaclUUTnGjylwESgk4t15is772bfGKOWbe
uhUhvXU0hudMGD19bYzNgNWRl4196YM4uIElp1SQ9PR6uB+4YcgYT4Y3QmmyK1nDcNk0rhudNbjD
b7oa/O6mG+GLn9I1jhacLObzooItZpZ1vs3q0LkpM93Y+AQNHrIQkp+ZjfbBlAwtq6hheO2zLQpM
M+yfy440G3IbzXylu7yEA2BhNQlOhqiO6AeH9lSqAa4JJN5xXWcE79mi6SUE1yJEQ4ogsjttBF9u
M9HkvgE0k7yFzL2xvTJfCxQP5bCap0wdecvz8k/gIgRJSn3BRwiveesk225J/eqwYN+nSWQ80Xkb
t4h2AD/qfrF1pZtewqNQ674Q8QORnXewVthJsXHbumaYPlaDCRSP+M/q0dJDtYc5AK8wJH3VWxMh
aO9DSRBlFul0uJOxX7PZtS5wf3f7fjCS1yy23KcsjIyHzLCGs57JbeDIujq1aBnf03w3s2VNG+XK
SvX6XIShRd3K4rjchParnS2b4akslrf2aDYvVe9pCcFDCYNQmslEywJrTap1o5KRRKl8JtmsdofU
WEMl0EvMZknqnOeyMV9i0qgBZRI8RlwbIB7Yg/zeNe0v7ol4ks5pIbCpBW2MkFNRa2XRvsBZ/Ltk
1xavM2lZ+hMvXhhCvgYK7kRrMxG0MtVOktox7xbdwNYAsNWtcDjLC8cZ05cOjhivB3ae26oLUUOB
DLTOGN2pg5wQlUC3p6Q5G5tOvpAeN+J2o83Yr5I+H1/bduJZ4aFkn9ZJuphv+DL5QyZy/aZMe2tP
k5qUqCEZ8UststFvNhLScEuoVnuwJ/ZvgDCcsA3ysNacDag0NL/wQ5z7FmbNI9bEcZ01VhMA5a31
Yze4xg3TNc9HFUQNtxLtEOc7KJPtntWvHDZjHZOIW4/+wgqcG2J7LRg0hHeGixKPZG1HbhSEJWgl
DZoFmxzwAi9Z1m+jXjBKKQDuZRRpRMuxje3XIYQQk5raKsP5oYTblF2YUJqagF1FmC2AIXgNJMgZ
BFtPO41o2tK+EJ0VeqvMqBPrOUc2CmSp17yRTGIGZtmon2dxJSp/zW57tKENzXHRdIR8DrozBTHz
K48IWNTc9hSU/RQWGdTl0LR0cq7YgMnLvKc7ZK1GZN5+t1WdrJOHKMrsKgoGHhXGKLhxrJL84LGu
RAv6mTjl0w6XdvG9qQGSOxvoBwkuS6dm1nYT6iazl51EKNWWgZowGaeXaSczroOtIZfqUpTMzAAw
Kiu+/rdC813Y3BBiyikgs3t0HhymTPHNR7NWk8vAoc39pTVqGuEoDwRrLKN79ALLtILncCYT2w71
UezQVc88b7VBMNhjJ2G5xAQ80+jS2NmG6SB4RbAct/ddTEPBO2spKMejnvr6ZK87UA11tpuZbnG1
eOWRpfRieRj0isAB7D+VB6vj680r3GM4ONeIXrDY3Vgt0T5iIxCqJmD2uq4mFyywkpYah71DVG8l
MZysxxqRgBkqpHPijydKdxiTu3kiwgxQib1LWreYJkkXFmJQnZDVojoi4sEYjHDPN3JAcePTOygr
72ym9IO+qeUiZArWh77EB2/Xvr0B8GfZO+Z+xb30uvxOQ13T4gLGfLayO56dDWqT4k0vF3gm6vdY
gQwTDZwBPN2QL1czgK4rDEPd9K6y3/sEUFw6qGNP6AMnZ5UeWuvMFN15akwTHGurQKzV+wyCpZbf
pP44uKc1JRwZsaWcFljukJU71eqoGEcPyh/mnD57kzOwAZZWG4+i4D3awZyep+sm0YaRAkGDnekC
H15Ds3YIVRZ2WwQEMIwv2hyOE4i0aKiNa4+YVCcYkrJ8VSTSKIIyerYGYJRIMtFVasQbygnVnHQx
KUFvgAOXjgsVNWnIcxZDDufVFWrbojM8xDlmDaow1G0whfakNydGU7mPIIht2J1uaEbVmoZiQsLE
5E7NsSDzjBA43enaB6QPyCZWSqKyW6PpqHsKJMNEV0Rz6xix8yYfuqYOPx8ZuI0rjObuxs0EaUFR
UyFl70CdSLR1skC6YU4doO2S1HOYXm28w7fAhXHHiGB5tHUnGOxreDQ0zF5mBAvcG6F/1Wl6xfcE
VCwMCT+Kix2AEvYWxEw1fNMQL9E8TGVEDACCsic2l0N85aaFWqouy0xOqGDEXkHgTV5YIi1Apr2d
XpPMHp4jk4zeImVw5r1hHpGrQa5fZfOcjKTr6sOdNzrd5aAAYh8lNjamw25RsZq6BWaFzPGvDdqH
buCn1XBq0LRIggFtzO+DZeMjdDKYmaWdpsgTlXNTh1G1bc1SfxAkka98Fx1irPIZhX4zTyssR9MR
T6WZBCBQe0xdOZzXlQ8RqD+N4DawzJczctAoJFvHA2S0SCPYDa9lSe71lgkRc1bsuEkTRCBRWHoX
Mz/YK+kiL7SipqYoICfg3OpkdxaZBh5t3YkksaQIPG6H0W1RHbcl3xI1AABSFWNoLijAL2ptqXgb
z/YA82rThAM8C33kKFmdxECJvRTlFe2Sy7mgA7CahZRik/UI7AJLL8CmwkqhQ+Egp0M2Usigt+T3
oYHjYobNuB5aZ3p0WS36w9iWSgZ53XvXjaOAXLaag+FdQ9Ozt4BTnVt5aB4IP89cZELhVKyUEfoH
TYvNF4zm2R7wTHOJVi9dowEzn3HFdCVzBtcHoeo0qYIfa5Mg0w1TCnVIkQoN8SLxctZfZeXE65mT
s23F4NxrpA+MRzpXGeFkdgUzOZeF8Zj4KB5WBUKMY4XCRN+4g0PW9OybuBrqEJLEpjDS+DaDYD+s
eW9S1VGfB7EFm385b+JisAba0JZZhUePLLaHGpUFfLQuf7SaonpQAEVXcQLq3EVRiVAq6rnlc3Co
2gC8NGtGba1ReZyrDntPQ9/lqYw6DTIrD3Wgksy9aLu22rdOjddDudkZfQH3RAt1756OMQnhEUDD
F2nO1ma09ea6V5N5ClZtiSTqvQWbUuoF0hliFFZu03hgBOMSopBPgOMK9Me4K6HZ5te4ZZNA0dwi
3rIBWV5bTrehfDEO5VTFaAMH4yEOp/EB+Afwk6bTsU46GfydPPyOrFgPbMdu7zzK/Z1hh8ZLhQL9
QeevOCtt5MQh+X/Ac+ORSKQlO9m3PHVe94xAub2UHTC1lddWusFzMF/6kQaDQBl2seN9QMRQ58Hh
JhoPqFCtnQ21qX5PaXYE3shGBYB9SXZubFT3gBbsmzS27GJt09U/lbI0GIWhtCRvHmg73X+1yST9
IPXCCyor+oAZOC6mB3a0VSGvld3AAyfrK65Z5Rvi/9AmqRr/MyKBcUqLmlkDA8fqwp6Q0ky7AVwj
gwWr0kdin/QuJljqFCH31N6FyTg4rw4QxuwEGGzR2uvQVnpLpHzvgO9i8cpQszDTQh+R+kYCpB3h
nTFTNnr6BFE2E0ofT7tppIu5EubobG27HLwnUZYti0otQWBCw3SdmDxY6jx0CoE2iShC0GKjsUKO
TBmPqmrCC81Dg4zddpCCxrL6ptfa5DYBA02EeptGgpuHCT0nIBjbAC7aIiLnHqwZg0RpNOv1VW95
LVuYxBqFUveVN4R9GjCI9dj3YRlKxvQIuKWB09wMwhPGRoeR09QvHVAEYwJzHBGmy1zXpiRbzRBP
6v4kxM+c+ms61ss3sQXA3nwXR2Pv1r938KLJbUlCj7zUFVp4Fwg1sCg2zAfY7GEu1qPue26//flU
9Yv1jeEfBmqwJNSYTKUFwofPw7lSZ8+RjtJ/1VNcJD+m3qbIHMZPyiIR8aQfvB6aiF7YynRXLmBU
lCo5c5Rm3RKG4t6l74Oun3+uz9NlPpbLnB67KixXhofMij5/rMSZsCZFifuWVXIZtBQfwo8CuCM3
olYxLvvFUP7zTH45IjZuzsbiHWbkuyAGPiE5vNJrdfwS34qPI/YfqhrLKRWj+caN7Q4RXK+PGpaP
hAi05uNS/Jfm8AuuMC4eZvn/53oJntvnf30r26Sdjs/Ft//9nyBpWpW8tv+qvv8LVWpXvHxOlvr4
+3+whcE6LHJTXukUSd47pOGP1Hb3N8NY0jD1ZcJuvBMf/mALw2/wbd9Hu8vMH6MfTwFz5Tb+3/+x
vN8wb+PAJKn3nVYs/gna4a/YFV1HxGAZjon0B/POFxUDTtbMiKdRP0Hxsy6i73mkXYxTCOlwAc+U
J0Wi7xvwfH7YPRgZeg92yH86eX9jGXrX1/xpHG8Ti8OhoUtYfGcTFcrnG53QG/wp0MJPKuKpyI69
oT+erEDPSDrrOvlKyyjVzulqySjdubRjNoP5yDZoPcdBCbfvXGcDl1RkBPp0BV3jWC8ptrbTrwyy
ogGzLGS8V3sknLCKSXwHgJA9pY25Wf7vZNtEtU93DZp0jN/g8jaTw0yyapcyLxNnsHvLCRAedkOa
tI1lBXrWrServJ88EuG5G7BweXSgI3ij1iHqBneFeu7KxoTM/NIj7UU7J/7OWwFqbSAek67TXeVx
Cfqf5oCp+e2V8B8NS9s0kfsMb1fbFCl1rUCwLmho1oz943jTVXnQj8Vaddk1xrjblGKYRBckhq18
6iAg7ehBXUaNS+0FY52YwzbN1rUgOkvMfIyB3EA2XeVrQa2yo0E4rSZ9eC2ZcUeia87KZnBWuU4Z
LBoONhObZF1ES5fk/Xr/d1n5xbKChM/EDfmf15XDc9k8N3/mw/z4Kz+WEt8GOA7mw9E9RFpYoFDx
/VhK6LT/hkLHRMO2kCZ4lP8PEbMwHv5YOliL2MhjTzSthYZmG/9o6fhiBEeXCElOx5oK0wrr3l8U
UHXYklwbjeJQmOhCMGq6BllipGnDmkNQLVv2p+bMhAdRikWNXpWTwT4WT73yg5n+h3GTIzTTin3D
DlONG20elR2eeGFn0Ki1emdB+eWzPKITpTe+LVRf2MOx1bOERDzeyANdtUYT+CZp4hXiDO5R84p0
/IrwBjdcGzSbaLsJd5uz2BKQV0cB1fp0o3nzbNAmIXpoXftGqdcIIcx03pl0A/Szknm9s04bnWh5
FylXc5LXXldfplqYoYYO/ccmn60YFG7dGWul+lQeRKnixZ3mP2gAHSoOAS53M/q5ScHtuvRfLXq3
G3JivIusLsVjjSM50PxqeErYR1/OTuvSFwVomahYEZbXm2O7qqxY81ZtpZHtgS/lNGWG8iQap34w
G/Y9gCgBCFa+95qP09GjpQHpNiP3j3+E530nrIsEfgUh3q6xaVPLX4/LPpLBvl9fdWlJb1mfJj1o
B+KBVjaVTcEkosLgjvF5WuEh6Bf0VXGJfrq5H+MiPDXVNOzm2Z2u/Mac9pqf1mo1JSjvwBNoyUmc
p8kb94NzlWLss+Bem9pFXJTeDhMZIPVqNM5Ipyhv49nFeOx11WU12+66Rz9XrW3c2ues3ObvWpU3
JIzUtNArO+ro/eW8oKiaFgw9UxK2un2QdHa3gandbRgCIE/RQjj3gzXD3QEktJ4Q7z9pqAG2XpJr
O5yP8ylOpvlVL0z3NG4MeUPvJDwyJK/OKi3qip2Nt/pi7GbRG2RB9XZL6bn6499tZtp9fK45ppSA
DPXiPTum9+1S7VPZRCSvFmEz5KQNE/MKitFU2rWnGctWkDlkM8wbNmWG/vrfFfW93vrFikrR4FEV
/+cV9fekea3wfn2Cdf34Wz8WVU9QTqH6pQByYOP4/8Zu4Sr7DfCVoNJiy0cNtlA4ftRntvsbIl4g
BAZ/gmLR4mP8WGRt8zdsui6ibcF67FH4/ZNFdtnt/Ls2YruBAn/x97L5wFlO/ujn2gj5MOMjJxYH
P6oU2AxjvHSMcuEnTrAhW9U4v1CZ/t0B0WHqvm3wngEh8PmAGd9amrJwDpbDwN9YYNSzD2Ve5DQW
SbwzfqE8/7yv+viCQGY4XwgyQQN8qT/9VGC/g0BxcKtYPKc+B7DS1LhtgCbt/nTt/6bQXOrIL+eS
S821dhyB3P3rhkrFQxx1mWEfkEiCtHRTdeK0ILnY3EfGsZ1n/97NiL9TCx7v54f+m2/JncTbGwEv
Lu2vm9qhzoDmaMo+NGZKNoeHcniF+ZPAYGzCv8ThUFV8/aLcgYbP/hjhEPuHz9cQZUJTuGNiH5gJ
ciBXMtRYMa6BH9m3LgkCpZVK0O/jCLdzIsUSyKNRkXEw5om21peIgn/69YXOzSSoPVyQQl/5cfTZ
aQdHoX3wBtAda7+Ahc9Ein/8/x2LbZVjGdzC3DhfbqgotfQ8niYbFM2AzdjWmje3LcbrLjV/xWdc
zuPnGwpAjw33wUHN7+lf0+yTVipNVJ196MP4e2OCge3MQvsol/9jHPxfbx0OIij2FhrQsk37fDH1
PkWFBo33MC95DalH/2jlLSnjxryEEPz8Qn2xJiyPo9AXAigtI4pI9p6fj+aFlgFdxLAOqUm+dmD1
HNMINUQ7OT7yR6/OnGcb1xw+MR9+b0z0BAIB6/QXH+Ovd7BgU6ozHOFRtc2vN0wIZCMMBZlbI/XA
npxaA8NBSNiMhHew1hme4mDKTCUAUxM/ELw/vM4CEmEFUSc//zR/dwVsuq0g5LjSSOM+n5Ms9wXJ
OZKHF3fpNW2rgXQb4lptCRntnx9KCGxH9AWgLX69o0bpqUphtzkkaFmusWfzyGr5yFLvCa7Ezw/2
ealn+YZwQUqsT8A0h/vL7SvjtsrrWmr7cFqo/hoKpMfSIgpkXmJv2PSyOvz8iO9b+X8/Mcsh2S7Q
7xAL28rGqfH5VMIztk0ERf4e+QQpBx7QMBxkzXhNIMt4nTTEAG0sKDyXsZcC4Y14pIqxrQ7MtSWC
r0TUJ3PN6+99BWntjLnOxMhtXoWxBrw5MYgN/vlHphPBZ/rTZ+bFT4aky43oL30aXo2fP3PJNJ3W
gWXvm1wvtqD5ZsINhYYTukHegDV3Qj1HLJxCbF6lchIbg192pZRG6gsxcHzGsACvi/46at9mBqJv
iKm5df145rkyYZPFwTKMJBITyCapRZFP9DDIlOtcgErWU/6a0olRYToFg7dZEpCGJZSpRSJ58CLb
2quUE7iasIRckjSsqQ29KLJuiPZN17Ef1gazSodfTddQDUHhw0AmaSVBYBJ1iSV2eVlzDGYAB4Fi
9RKREzmBdo8iG8MXMTdNXHGHSNuQj6AU23mnhbMv9gO9+AMyIYIgmLwAks7yuH3LMOuhpyhNuYfO
OV3jaxkvNbMlQnQGDJ08GQy155U7WwLK9UAr+77OK+49NCTPGRoINLD0fp8nwyfNCVEvb+i+d57x
2ZqvkkSfk75262sl2mLnDGAGEOKiBGH9pbU9+A5vGGMiNYQURx7S9zjjMNPWKP84o0uK0GSzJwst
Uq8Uo/WAca9x274zuf0hdK+bJprvTTafb/I9I6oQg3+PhLB5y2g/mysBZmMzN6jI1h5pCfednLia
zNCsUx+yDKO+dDJu55bzZnc6+rf3txwWLm8rGxg0aEOwSy/YMBoyk+tyZ7NHRURblNPs7uOlMCHo
YLx8Z3HTBiczppoIw0OZQmiTUxK3zVaGuybDDvXsiiXkZUpT2a6JYEaM3uuhK/ZyWS81evnNrrH7
Ot+RIsCHwYGfIXVseS+KKub5q0iDjDYoeUkz0grgz9M7w530+SXZaLKXyJwsRIuPXol7uU81/56O
IL/Wa4mfHjWLmCgDKdIK1tDClGQebq5aJltkBFnRfD67+RwxRSyc576qnWcR061aNSBh8gBUkYIo
Ppsn8zwQv0Pwp/1U9n15683JdM6UIg9q8iCNVarlhrc1El3tk5zpCiIYDtPkI2PPcq4I2m5CcUv6
VALNQJCvs3LhwLEn9vRDYYOrYxjr+8vs0lqPjmavp3KebsnCdGh2xVLuASiQA809ySBGb8qrVjZM
adOwK74R3dR+9+y5OnVMtzsytiBVbUJlg3cgY2VazzkL1wBpnpOgTfJBQNdvto0ziddxdo0APgxh
u/QTou3igwLm0ckkMFLkyz377SMqJoIT4L7HT9ESOetWrTyfRCx2dTmFB2Nq3XrHeE88yqRoScSS
85PAAbxn2MYQdSTO/qnM62zjOOa8bgxEW4EXOv06y4byKcVC3KLviZsgQ7OzW4pROitj3ZgICQtt
U1MDMjbF2FB4Jsm9MaGnhBiH113WaP+PvTNZjhvJsvartPUeaZgHs+5/ERMjgsHgTJHawChRxDwD
Dgeevj8PZv4tUtlUZ6/LapNVWRIiEA6H33vP+c6O4TTGm5bc5MkZph9M38c1WV/a9RRUxWOSCcK5
cJMs6lIJ0ZhZLbysffZ6m+cjIdgSc1e8HERLBntd8Rf52tGWsc72T3xotchaKybL0QP/0C+zBkiy
s4CA4qMc5JevxwMnXX9rWsbkrAi0hGgShlzIRhS9soco3vnwLZZ538UrZLba2iyq4b7OXAb6cEE2
g5OhDo/177nXVY8EV5iLJDDkptNCC+wCn4OhanHNW4lwj5nt/eDaDfA4BPfr0YvM9FCRUHlFwhBq
qK5nUWsuJ7LniVHsUTMp+xddR8WwrureTM/f4tVMSwLUZ7ftUUWgJFxWc2DcvYVS6chhgKuhrFz7
g3R0rNixRA5AJwwdM+lX8xKGQfUUGra8wgSlLb0pb7d9F/A+9gcnRMWPyf0cKDwPgA4uoDvLkp4t
iN2Yg1ldsdtK6iiMExzhXDEbd6K2lQ43dpqtLWmNkDiX1U816aJ8NI+MXMzdZf5ErE7EeS6mY2dY
lVnxzMddXXwFX+HXr1Mt7EWH7iZc515PXHdqjz8Kf2wiFBqa8yVww2DXxgHdsmqi514iLh1wHKTx
N2QYzyh1rLVjJ8rPT2Ome8xnEDK3yVxX1hYymH8UtK+WLuKDdTyOzTbV3HmD6rq+n4MIpTeTsvFe
OG1x40b1q5nPj9K0jcsM7e+WfZWocMxMzM2H2nyJ4Lq+zEky3kYIT+srnvh03YgsCrCjeCMK8jjJ
pkXD7HDvOkmH3wiuGiIAl32chEB6Odse0M653VTTBVJY68bFDskIssgGY+HyK6BQpZ/woJWCpBhp
9PmFbFv7coZzetkY9nBTJD4sn8rovgMmytdVD6C0ClyB8LueVaKUSf5s51skxJGSsRiHGZhI0eRs
F+j9Ccjy7f00im9hrY23Yx9l18Yw6BctLouvGY4NmAB5HCjrEYkpzWRFx8CekotWOhZtuRHNdyyi
7tlMxvoc52awLhNnOId8ozEc6buiPTPY8jYah1kyaQxkumB4Qk9u4HhYd6Qk1IB1rPm2TuLwoE/D
fN3HpEwGIhqfhrxvhrXedXayR6MtHSKndM1d+CFe8qMr9bE+C+Kh21LlaocUAfw92BwTTgMmvZKh
h6dDwGDxHEfe8K8GWuCLAWvLmeRFeF6mXZGvapIlu0VlUF7EbG5nGcoGghw5WaDREp64jkw8Posy
BUTLukTXkUmwkCA0nAMZzGyjlj4FPTZ2URKUWbQDodclppIeFRyT+KAhotrPPZsN0Rh/VKjWwk2g
NfMmqolos208e1buzttu8JKbDjvmPUr27sHPSUgXYEqWM/p0Mj5AbthMaAjcmlMPggmR0ksD2+gL
NiDeQz0M5SVZM0m+QhbMyXqmTinz2UOkWIXJpal78l5vR6ZEiAKjRWI11sbXLIRXZV06GwCQDhpg
Mwm6s4G1+xpCQ/9S+1b/HWaX9zK6oJQ3OkrIbtnl0EuWoEARu0GCrV5JomnQlsTzNGy9vn5FixBd
dWmBpGJmzrm3Rkn0XlWV+Cdl0iCf8tpWKaTaSy0f0zUjBzSzILGCfTQTX8coqvLihTPYvX+eIR0B
Ju6Jx5iISHSl0Zxe6l7o6agXy/yyJPmwX5T0hq9jgjiWvLM7w94WNbDGgXYygQr2WwX7r+nSb3qh
vP/cT6dLxx/jvz3hyPl5vvTnH/prVG38QeGJN5poGMTEKHr+/3zJC/7wXLqQkEhdxcRwGT391Qp1
/lAOVRgCjHcsoA3mf7dCdVqhZBaogbivVHPOP2mFvi/DHWR79CTo68B6dJh9f6zDDOE2Qtejaofs
HbROVkbkV7djfYQB6K8+r/o+1nzqWn4Ah4IdHK7ixzaI6HSEwr5R7k4Ri7Og4ZEOVvAwcQcOTTP/
ru5/35o8fTdb9Tkg+zIB/wVL3mr0ZGpf53pkI4Kk1yGhL1JJql8vbWsHkdq11pb0DViGiXn3+Zd9
LzQ5XdzR2aRoTnKsoqH1vsBtNJ0DNuyl3dz2/UuRF6rbg6jxMBlkNEkqvYfQ1H/3lf/mFjvcLXAj
5BXAhGPZ/Cxv6bs+bUffK3anpvapcETVQyUTJC2lDzv3b3orv1zQpaOtczlWr06Qhvr3P0XcpMpw
beJY38ZaSEfBr/0V/SsaDL6lfQWh5j59fls/QjVsHiA6HT56UcgUAb2P9xdkq9PnKFT250o2JOS5
YWdekqXDMe+tD4oG10C4WNpU9plx0winfChr7Okqo2gulT/Su+kn0ySiHEQVvs467g6GDOQjCU2/
WQV0svg8Pzc6+LwgvXn2mVsEPOwfPm9ZAMROi55oOg/L1R3hvk543kU54V5R1dCrbiJj3GMNnXJl
7HOMO57B6UZDUbk19dh19wmnmV2BfeQ5wmnM+cPNWUtA2aEqq/oSL3sR74Vu0hl5i4U21eGYpiLN
m8HsiMLSWg7o42TOFMuO5ITderQzBpUyS06IvDFIhb8KE5XgPLeEWn7zkcBOQAJnKdZgbDiCtxa5
oS67hLuCXJIFW5Ux+yXlrATiRUnfd22YAiJGkjlpEanxAB6MH6xSmdB8SZJUXvR2IOxrWU7jodRj
ejeukwK+V620xWkjaCeVLy1Fx1l77OVVkDWYcWXYEMqrGs1zS/KsC3itWUohaJwWlrjiuAT7Pmhm
ti+Jq4CIttZ5xmYpb94O84UISYuOe3mjNaS1Oqq+TubEeQYRb5a7ktDfJxd16bBkts+hXdUdN4NN
F3pVZzZwOwoULKAlPQ4TbwnpvD6TjnzgPvqz4L61tnE3BPxos98ED2MzU41rLp031WlrrNGxNlOV
kOAWSBXFdmp4vq3VOI3IboutZBwukkx2L3laUfLbjEKfzElQg3QjzHdkskgZ94EXJsUOnFdT9IxX
An9Y9zSTvsSCVopfs5+uesidcl1MNutElK79XHV+/RRHaNNPfY9AtVYoUBhXkDHKyoDEpC1tXK7n
LTNbpCyq0BmGifaJcGFFYcmgQy1lSk0TkQUF1o1ogohq1rBwpKS0kYAG8F1HNMALysuWQCXuP20Y
B5+mb+NU8ZCg+1rcLRsCAI6n/w9S9nJZ0CFl35jjrcZ3vY69XqzGKAg2uORYwLF6PFzYm/WWoiuk
YO8EQhrRjZA7GukHN+gojBZkOUI/pNi5r6fHvnG72ln4Bay/29otaQ4swkqGYoPtbFqElsYfKPPE
0Hej0XtCwnbU6LF1eGo1Ao6Be68aCPbhDUJbwlFj/IekjsdwtA8mkK8nMHnji8AOK5Zj2s3J1Thp
5vil4/bHZ11ZirPOhC9O0ZsR4Qp0BJcjyC2Axw73uburrTAGdUioYVgingDStoS1LnfQF+0NlhXr
6EDvWAoxbkOi1c77qJJ3LojKZVxTpLqgT482BmxVBxuPnU7sIumnoFQmaVxqbtzfjHHTRYs+FM5X
mrmBzfrqRoJ/gkSek1EntrZfRcUCVw2lqF7NR78dohc6DMQeI7/el0nsHmu9JLwQ+/d0MEjM5geX
Gp6JGU/vGX2S/iVI0BOvcHgSKMbiDvZ2CNB5hXsMvIvheeGDRQYueEHNvqds1BBgNM+lgV05zRHd
bBsAg0jJPItFxySNJTVlNAdjQ43V2JcJvKPpLZHgl3GypYDkLT3T3p66vn5yjJ7k+inG1+RFfuGA
+RTyZpZxyPmXAdVbT7VTIlug4c+y8qOH1HHZMCszu0P6ln4h2ZkH65RNDt+bXGTPIqW8DlS8JA3H
Fa/R6s5FLj8nabkCh2ZHG3ImfWfvoIoNvsxdbXwtWk2bdzOiUX9nIWO3VE5nh1oC/0u2d03LQjIm
HHeNbWz/35bulmTuXeQHd14cN/8XWzfUZu8W7k/m4Tsdd441aGJlYc555+8uzRLRhSmHDQMCciPe
G73tyWywn+boQt6M3qWn2d9ww/P/r3ljtffQfc3wW+CPSQsgtw6rzexXSb4wo2ywqWYy7VDkycCt
K8J6MQPzeZw8v9omdulferGlr1KeqjMQGm22nPBSPAGp5ixS945/sEamopkh+FmBA7frBGEKmwU4
6fbY+t20m6zUP8LToa2DPRYVeO52L2+Z4SE46EXmziyaZmCldJHur6DIqaU0RGW8QvRCz+YUq964
Jnt6GvD3CJzXZ24fB4du5KdhvAD6lFTXVPXNfQCqSW3zP8RZyRKUVhQcCDCGCBSZzOdyzLDbKRbs
g8KJuu4MqYJ/QD9DggtEnHyR8jIplpbHlOfUMnKdkfbwqctEUiUx5eFsP89TyoZ/2gK9eMClCIRQ
Lf2R8eoVKVv0RnHQ2YeRnsQZiFiy905N5dLC4k37qFWzjZl2r5fzfuwQLzN4cBLVX27UrBkBD01q
uGAEYr99LIMQoPysiVNOEqGm8fry4KicNzmJ5ARFy6tecPalZxCsjTkvp705mm4JjkPFpF9AgqU3
p7dB9TSaTR1fmo7gUydFzXcdxcwlyzaZvBsbe1TH28KFq1rAOY5U6O3o6wJucSRtd0/TM4Vd3DjT
bahVzpMbG2ysU6ulh7FuVcX/t9Z+eyaBi33RU6o2Td/XQ6y99m0TAFQYA7ngM6sRFXGnD6YcWRZ+
3vImb4LeuMPSwuspamWZbVq86zOfJFF3FHsFoBhn4rU+oKnihcnIorwN1S+appBH5qFgxeWY7Y/w
kakaenPWARQ4Xa3Mwb4T6g+GNtmOzX3iaHmLV0AbboULj7NeJkgiYv8mz4A386qqMfczXY5Il91M
WaJFBlZ2TsvRGYEydKUNjhu5DlA/AamRLcO8SJCOgZ0fXYz1WDU5g3hmrO8zPE9HJl1iCeyZSCfQ
JytJfsI+T+f6gp+/ual8dpZMxBqxw0Gy13CwL0QX8+ohfWIbMSYEeOBpm3wYHb5H465KHYca80zc
vF24BA12Hfls6VYbDRtDjwwcNAY2JimbXQVLmTCM3LgpoR1VC44hLYo62vNGxomkd4vsFWaxs/FF
FW6DuUIT1zcCr3rVjUt2hdeybV61fLoMpD3uGJZwMBga/TLoa/3SKZCeCb1Yut1UbOXgwPXCe3wr
3UFFKuvZKm1iDMLAE2GG2BfSHMprfm3ey6XM97z50JkViKmJ8emXfuGuoyC/GDK4BRa36lKf6ui+
1tzhqa1M61iJIq2WVqRzgJTNWR7kgGsF3izjhpMf1i/cTK+OGzp7C0dekmA1C1L0hiXyyNBnlDT/
cBqXH8TG1EHYlwPUBaagngMQnTRRLzXewAxSB6F2kFhnh+B9xW7Yp9X50JjaDl5EU190GRmhiyJm
t0lcFRg7i5DfPpR53F1NGTlqS8Gxe/V5GaWqjndViU9dQs+fxgKtyV/GrzNEo4A3Xr2tndOhX+D4
WfwvJDq/VD8+Yi8aFYZD2Q+N7kN5CAypH1LGLtu3oN7B84y7hmBwpOfg2c5d5d7en7bDz7/fL6U/
10VTgMhdGYCoFN9XiZTkuZVWst7KNHefe61ot0Unc7kZCWtr1xVDwRvXjdmLG6FOuZ9fnb7Nx7sL
9ZKqmAecD/FRmDR1Kd0TGAxbOolMEyCRmHe+2nVTr2O37yOV5Mtci7JEnbxRxLG5nz7Cvzp2v+nY
ETHhswj/Z/XirhoR7705T3Yv//nvf/6Bv9Tg+h8kG3tKf6Qaa38pwQP3D5SC0GIR8RAH8k60aP3h
6CjCcDLxa/PnWGp/iRb1PyxkDoiYlFzsJHX8f//xTqLUffjv/1YOxRXevr77z39HG/N+WaEMJ5YU
sQQBDSRvWJb1flFPRd+L0kv8vd4U2MbAgq3GzMS3YDnZS0Gk7Q4JMKJfzg0RRswpzI4Wp9KnNKUm
WoRep11BfcWjGdeTuLKBJj9ks4mArKGB/j0mqDjawVpqwmVYDjSWG6APmwED65rdyHuYnH68Htra
6pgGFHm4j1M/fxFicg4ChMRDLKu0Xcy4VgtKMpyqkLNxVvTWuIsDO9kJR+RrnIzNsHDJN2EsXFju
Cwq//Eepe4ye8/mIlV186ZPGvslCbZhXg6jDV0zqxWWkneg/MXE/ZZI+zfAgnu0wEl8khS3m7S5+
1SwLblQQOZAiWuld1a4IipWcrO4qdSLJyBxg0SJo7ekVZoF2TaIoWe6eKKKj0EyALEi1XdLZfSY/
5P/ZBzNOM5A+4L8CpsFD/DzXUbnF/9+tOQbFTwbjIbm0/MI/Y5qAvzko3Px2MuL4cnCGncMQOtpC
mIrOojnw98jQxJnOrmSt5qJwb9n0yT8mKjz3FtMUm5KxjDnM6gBqRCtMlsHLZOiyXpLa6OnLOBfD
uRu0hDeFWbMfwixdpx1Zk5AGKneZNzI4b6GDLJjQu+VCD2offlYVkD4CBepGeIXSmsbVNqM3+Y1+
nd8DJisQgEMeqG+bfOz3SJooWNVogcRqpgyaGjgYp9mDr8YQyWkiETkMJ3I1pnBPEwvjNL1gGsIk
I1RDDcIXmG9EBaOOXA09qJ/bJagfJiEWlI6VfZqP6GpU0p+mJq4aoPhMUrrTTEU/zVc0NWoBBJXb
C+i4Oedze+6/l63latsw9POHcJDpTlgQQKnMU4K9S1c8Q7P3Ya+1YlWpOU9wGvmkavpjVAGDIJkY
4+VMoFr60OgZncTrWfOTKuf4q/U91YpIbsbJi6944U9G/sKva+KIiIs24d5Ku4y17qADm6ySI937
grTsrglWhQFPz7B78TQ6o7vz0VHcRz7XCLtmRdDPrd0xmx5LTGNLEOqi3IalUW9I8y0YtqXuUiDY
3U9U7JuuyAoeb4VaqtplHWWc/0qjXSClq9YkI9Hb642QeBJmrRoyxnUiA5qZkcWRNTPOzT4wLvAd
ewtZ2eTnBNscMMlhrgG2TZxi11Ivp60rG6ZVA7zdYiHgZK5K3lKSrhCYFs1BGbPqusFaWm0YbDBe
9XtGfcU6SSdvZ8lgPAzWDE6gKbKzxhkGPBXF3KBzakBppUNxMxmlXeIMc50zNy17+pnd9RzzYGZV
+gqY+V7xAZE/Zy+I8+wV1Qko/iTt7rQB/3OO3X/ZlXjFEukYt62dsWv5RZmDMrIxbrkpkIoMHVU6
Rv5SmHaP0CK7suzyAXFRvoxmHmzso9u0j3jPl/G6qOCMhk1ZLtNER9Eku9zftrNbLGXmqrtdjXco
1dCMiSkgP8Ke12buijPfTM0btwYNwfaUrWmsOTvPsYu1S/eQ5hEBTRdOkOnrRqbyMBXO/MXKbfvR
K0BjxRnBD7KO47039N4dJqThvB7dXLJJdewpXsXesUicUPuuE5JX8+RH86WCvSySMsK9Itgbs6j2
t5g57O2ALeQADCcA1tFFchOaM3Y0zPDLsXMi6JJZcyw4b555bcEYsTWfdXICFnRoxEaGxbyAbdGv
C7popNhxU67HPM7W4WyV+dKNcu62aaU8qL4WBN+TZOIl4ltA2PkRermMQ608wOHoLtPOpwUGuXYt
ymw+K3pTX+t+Xa5S2wNn0/nFI9EU/hWxyPW0jPj5H6Gsg4AYtKOTyfLSEEOyot+t3+EPyl+7ye6f
PCOybz34M9dNQy49YWv6Jq/t4ULMvb9LdRvGX55piHF8M2fTjZPhNiE9cu/HnfVsdSxpAmrGA3jj
8sKnC7Ml9cq47FDoLZGNDDxV43QbGYVyFWpGckQw0h90MjWBJeXhVo+ddCnSLltBgWTLzKNLlHLp
NsF+c8V83QMIJEieidjzV1baI1kL+3gm9KuGJZClxTEx8/A+JsWM5FvyMb9i30FRAxUlOZjwLrad
iT5jMRvyG+MAxtxWPd9ZwjKXdZgyWM7zhPIKYdl9E43mYY5B185jJaIFsTEp662JbwCKGrdmJEwC
r9J6hSWsBwk+9fGXulFgiZk2PpG7YbRgYyItm677c5w1+Z0V2x41vWvI9QgGBfGcPS9TVuUeEdZ1
P3BkvYxay+j7R70B62XCTR8B9z7Sy8/LbSW9NvlCWzosezKw3YE3Uab76eVcKYdQCV51jbusWU0W
Zsp1TYjZi98Ldx1mKOdI22DqDsIAMWareGQkNg1now6SlbLyLMlGkGhREu74KfPVUJb5NdOHHk2e
tx8irV5RZ/15RP/X+fg352PTMJRV+H8+H18k32Mo6u/MPX/+ob/MPXhxDDPwyGNXEQ6Oy5DxT8dk
wGwaO0LgwDhw6eL+PNH2/wDno5u4tolFs05F0V/nZOMPN2Cq99OI/MO5+LNz8scJoYl1kmRyck2h
0CLG/lhzNlLjec87MB+1DXxiKaIC3mGrrC9hrJcuZrx4KqpDmhnaeJ9IJoWynuIakFHAkM1LRGka
K2YTrGXOUu48ASUmdj49j5SsGGiukqMC9mu7s5/u9NVb/f3zEf/DMJVhJh/Y59bqzDcd8+Mn97uB
tk87t+e0JRjKxUhynDENDlA89ePIUOJ3NAQMpe9rCi5JFAfDSeQHRNFyz97XFBpx6LWCeZ+7bnCo
eg9pM/w61T20gWiRB8K0aUtPvn4K6NM2SDNtQTAojS0ocE4EoWQXegkzq1l43JXSDQf8nmqc6Jc0
GNZVSYtRPfp3uWkgcbbDkjK4MyjCIxgnTABI/nUXTQv1llgx+GwbDH/ca82lo5+jF1iZBgO1nmxR
2riNUsSiYBKw372QHt1bhT26ZAnSOMI6uiz6bhg2YadNaD1pbbaQY8lIIAznGdIFAwSbPJn1SUjc
+uQKoK/hVUcYVsA2dBqE6nSh2xVvIfPOMDRahcmpbCeCqnmik8QoDV14spAmMW4I69WsTox0F93K
bOJL/JzU/KfBAhScWN63jRODd28gqd0Bkja6c5NILvM4ZyOdONeb3PqROC+GUL1ynnkRNliSdzwi
MgHFmCiuc1Mpk4jn+2qZCm2XdJJ7TeyprHZt7auWNNDYeRm6GpfOazVNqYeMT2emCuohT+Nxph5p
fBUKgx4yHLsi5hhu8f3TrHSeOUiFD8Pk0iV/m++NRluQ9eRexy4xWksU19ykZLL5FVy777vHGGBw
vbVnHZEu95FWigMTNSHrOWcwJJ2+mW8neoDEWGDJMM4pgfJ4D3jXvPMmB1V3o7wwoxK7B4BbaOLm
PcbimcnXRRyN87Xm6/iREYP9BSttiATs11078RDmgZJ0tK43ehCezHyNxi5a5U5jAH0b/w5eOjtD
9RylvXMxKYApGm7jOIo6v7KsLHrmiJ9sCfS1gU6CZHsuo0x8qS2dbEljZsnC9kNjNgqmuHE6cscp
gDOa5dKlfewgZn0gq6nrr7FNKDW58Fg2ArhRshyTwm0v9R4BIdrlSOOwVQyEoqEup+8zW6uUFWl+
HxUMGJVabY+vUzoN9IZqu0hfazkyXS104w4CLDNzEKDOc2eSKsCAVMlfTfXLczJqlFp+5LfNqJUY
W3mI/7kzPFweEYHzGRHxI2E/OgSqx9OIG1c8D4KGYViqyFsSDDPa0OdonelGhRLHTyTSCoR1aEq6
BahcAZ1N8mCVA7feqwau4oLjmRcGT1uwfhsSY/ugXz44bXVexpiJ7uCVadqDNnhzc+ix7rZXE/VD
uMkni+2XPJEpuE9sgNA3wHcI7i20FvC5YBo3C5sNYoYJBeStB9TDfB84PfM55eCpdZp6Ye7T1KMb
zdNTNx6zitNCzqTGD1cpEQVNXfVQ9K3N3wJGnD2UyhobzIAha4mtP3YfSZ0dzMs0DNgo/MjIqu8n
hVLs+oyDYGBxTehNCHy9MGrTrwz3xghU7YCFBFBkn31p2SGMGKXC7LSXNBdLDpky0uiceKA/2rWZ
GfxNOstp3zVYNOCItoif0K7KL/4QNtkPx4NuSLLURMt7XejCNC8RN/DgLswhjdwdyaE+jHMKfV3f
xaY1t/halLhaSyL9K0ipbpEkkX8sLT14dASizGo2bslLlYwklXZ7UiruTOm5WRgKoYzG21Jqb+sk
/C6UBtw4ycFjapethix+PFR2CtrqS8SAs9vYteOW6aKqp7Bkk6l2NeKqh86pzaVV6F+R7NLuL/OM
zhO69SQeJRDszIy+5V3o/ZCRhfwduPYlGT2HYWybaZ3lrbx2Ky/66liiXBe8pGAkd9aN34TlV4Pm
8AYgXRSSSMuMV++9Fo7WBCO+zhp48HOWXyR1lN+baUfvRe/6DSW8XGgC+0IJGnAtirG+REBRHBxb
DOth9PJrtvX6axoM8a2w86vR02V61gJP3DRTgxDz5B5IquQ2Qv18PxZ2F21aZTSAOWBQXzfzPteC
jLw5G8c/qcVw2jyPbU9Y1R0vnfqxdIo6XqVzV2KQ16svaHjUrYVMhsVQeRzAMssjogl8QgCyVxGd
uVdOyO0K2q29NZmxb8bcNI+MGT3w5kQ3Ykagq8QYujXFeQOF7czPmwlJKvL+nRdLwnQd4zoNq/pM
l/GwIkK0fkyzth55SwkQtlNoiPVUYLNoeju8DWpMEIQeMbeAYk3AsoYyaJpc96jFfXPOhj1t9bKc
dqOmqOpoMNZTh4K1N0HgN8OEbIPs5jsi4+YXnZnsOcyd+bw9mU8+PxJ9aORzPkG8gZ2ER9c2rV+O
RBMhDD0tL3vfouWgWaeBjGbzD9nnSmmy0yBNU+6BQvDPupbykH7+AT5MMPgAGNH5D31fVJeo+d4f
kECoWT52s3AvMaZuszLMl/po8Ra0NeJmEUFVhBqj1fr8qh/mM6er4qiG/8FRG1zVBx2fjc4ZnCyj
vZOHK7ETdiacEL/1Dn6Qf56uwwwIJR3HTRMh3/tvJ+DYDl0QEXbAOJ9NXWcmUZUShQUZiNHbTOJd
R/vn4+3fXczTdYPbiUYx+CiJRL3faRGn0L1PrO66qmJ71yFmW2rJ8A9liWrZwElT+kBmT4y6Psyd
mijwak3q7t5yUZkixScxHCblslNuvM6rfjdP+/XkTrgafmKWie7+GvVl+BX7Rl44+5MG5e0diD2G
V5ZDihQ6mWTi9v7TNYKgFl6MD4HYNFFhvv/tqtJudEm2zH4YknY7jpq1k8b4O6vmryuRqzCDDmBJ
4cPSP6x/eJZjGSadu8f8gQAiKWkvKa3EP/8uFJSooF3gDM7Hp8ztLbNxoGDvA+DQKzdRthOJlvTz
q/zNr+SAndCxArOt4M59f8cyMqMIoKmcvamMsklLu20hJgIw1yffEUHZYv5NSffr9sGezhbC12J0
w2XfXxJrFbnPuWvvafS6j8bgR/tZFxxFhrzCO0KODtbHbmbz+vyr/vqsMYGEc8bs1QJZ8PGrIlJL
9Ll2zH028HCFFdtUr8bIc4rG4fNL/c1XZHHAyicwAOjEx73Ky8eWSxXmnuSHglAL5rqzEmnlNgsG
xSBuRrVqPr/o330/l6ccwBtDXscy399XoSelFQeusT+5ecsCPXeu+/EZOuDfPminee1P03J2E7TN
dHVtm1hGJcp/f7Eq9ltf53Hez20X+Aty0Z1x4Xh6fkN4O6BVVLDlIpw4JsuRc93IWas7ikZIkPVa
Z1NcVAiIIrN7wfmF8MifS+Q+fubW+W9uy68rPMABTg4buzn0O/PDfo4XaQQNj2jBLJgfLpMwqZ9S
CQIch6nNUvtfGPlP8JKPd4fppwJXqXTNjxGBUU6/JOQVs9d83O5r6VvUD72UPa19gzeW0i2y3lP0
hc2AiRnXMZKdE+oAryQaqSYa0JVySkrOyHBFUvT5Uvm7e8IexloxcDmAP3j/6xEHFc/C56k/qaVT
3Um/GpFm4Ty3SgZ9ZDL+5kf4ZW0q8T1PA60clii67/cXbJJOHfqneS/skAQhrOYqngKDPS9WqvHP
v93fXUwpK2CwKHbhx7VJcFZAnm8w7WWECyots+Cgdz5VjqPXVEmfX+yXlwHfDGWFbTAK4Sz2kaSA
usaou1Cf9uhiKCyjpGdl8SBSJX5+IfM9qwKmgct2qd7dDl8OYuuHhZzT35dE4I28wPHIXunUcMNS
87s+u0c+NnfndaqEaHZk+wcQNMRP5bVnoVPM1WuwauQNVkT6BNpIsYR3d0Y9jgdri52OVhZdL2tD
RJQqz5uM4piAl+mqLyu8t/90I4a2yumKhmkAcuiXk0hSTn6tAmz2ENKIqVOIi2KMIdD+Yy8G98xh
tolPFvQEwtmPe34f6WYvZNzuW8U1YHLF92+qJlhrxKic26X8bf9Qvb1+evTRNLAfmjz6OFwAXn78
lcq5sIymdey920j7B5QgAco8DB5ODREChenqNHPu3FdSmr95yMyPSwQfKDwV9D1c2UTJpOh8P1tP
YFf2iT0m6d4w6CTNKz313aw7AxA3MFQZZeh/c40ss1c4cY3ueGI9lejakq3ZT2W4MM10utFPSr85
U/2apvXUuX5o+ecZFRkmGrdLzwb+/itY11rJ3zQmzjY4ZQIZUJ2qa5K+5odWLa9c42VwNvWtUe9B
VtfdwnQxMjikVQ1Lsibo+2U0jrCDNgJPvs+QJ7twAPa0Kx393DWA4fQIfkE7I3rAvXoLFao8rI50
saFB655KFqItrZdov50hWMR2Wx/6zPYMJB/vQ4ZGPzGWtsgdgPGDEYPYXwxN4vT0vnUxVs/WnCLO
UDZimkdDbeTGy9j6GU1xoiktjAq1aoZOURZfiUnyzx4OzmqHTYKmd9Ci69q++TDKZubfzo335+FT
kPggN0GuzjVNzbOGydSZXumWJyNy36ilcJ9aGWTon4GTEFhUxIjuiH06ZFEj+uvOwke5MqHCI9My
ijq7qfCPI0McCMRDkYjXINNN/xC55L3feLXRvchO51uMVurMP5hrDvZF2xi06Lwx52eWesIf5Ktj
+Bj5uLcIBGwShmBGHQR3U9DRGOjNJVkPZ8GtIWKv6IPQuYL0QSPcLyZsYsKCorIcXEBz32ai9XbM
e/FZS/TQM1YbJYQN9FJlY8S5hSOpHIXT3xgINcEDECEVX1EuMs03Jm9EG4hMcidEC2N5NfR4BOZa
oVhcky3cmSNWEEYCSlxYjIl3sEVI0FYsNXSBvUSfcHwztviMpeczeSJD4GOlyxgNumzv3iS/fuKw
wMrYd82jlrS8G07nAHr2rL45cmk1xG5F34yMS2s6x15KygHdtkq+Bv0cXp28LW8tOCcnx2lBWLxx
ZyuGSBLGUBm7ocOa8fZYuSZ7i66emdFDt/1cnjTJowOyw5AGAn66vfTmTfwqw7J1HVZR47sURnHu
cF9NfMDmwkq74duUVCPj6oQJwttoxiDviUgbdZCIbM52fuXZzzDsVSe2pT2/qFPKH2nodOBPrz+P
8JL2KqZ35R0cwgXmRaZD8t5UfqZ35wW8embWtcakAcsxN9YOhU1iXWBGyTWaAz6IodM72dS52d2U
s9HIrwPhp4BWcs/Jshu/CiRDf5kbd25KXMySkOZk+oF/kiWb+o1pX08GQtNVPHE2tnj+iGXgfcwY
AFNwTLeAtWIzzcl4gnvL+8LBPGP0yyS2qq1FngiCXMA+zgW9eS130j2UKLr1Uw6Yf0MHbfafEju1
w32h65JWGx3yXpkg/ou989iOG0u77Lv0HFrAhb2DHnQgEI5BUjQiqZxg0Ujw3lwAT/9vMFXZEiur
8s95TtKKDAP3mXP2WYYxVb8/8f/Zk/7VnpRpE3Xbf96TXsdJ9bOOUPz+A//akeqf1sf+Wm3i/+PJ
T33zY0fqWZ8AtgEdA9r0AVBtGZ+ka1O4m4YLE4kf+0NLCKDaZC/IyU5hz4/TIf+dHemHqpE+hmab
HeNqLqZL+OiiDJUGkKK07SPC3zrcAmnNbgkADU80QaNPYnr3KM102cFeWXYGz1JmNrR0BEpMXyDs
1V8tJ+0edSw+j0RmiOCnb/JP9qD/VlZI1LN8/N+XoND0fn2yy8FrueNJ65iOVvVsx9b0udHj8lza
E9d7k5DUJGt99Lu6yn5Y3f/jkIo69kNR4yGzpK9ksa0TSY2s89dXDwlKxPWfNMcwCp+KhuidQQ2J
vMxkWzlbp7bds9C90uFrctyLyZLJFyNtk9+mpVzeXOIBRgJUZ/MU5VEXZGzP9kz7hyzAduDckAqG
JmYaXPsYqqI/G7VZ7yy9tjYLJAW2XYVcH9xdcR2LGbcbcjTD170G5ZzCVbUdhoWoDw8XRLMxWbPS
1znia+RRJlS4ijZL52HDJQooaIGs3zKmLXfVbJXIoXrTY7mK2Sb2eX6nvsnW5VGDqIXD070fpgXh
lLWQErdxnbq8ai30alqsoaRqK3M8EGwd+plGUCFqsAF2t6vGhrgXksvquIz9QkzzU5muNyKtk8aZ
zXW4ddq5f4RFhfgk0ZGhQVaJSaHiADgHz8zmHfFfzn6SAiKbJRR5xY5obuWgpTeYshJjm7KE/poT
7M1igOnk1otJB1SD2Sa7Eev2vCHgxsFO7UVID5vGwcBqxf29AX0oKHtXDUdG0zlqSoEIbUoGL/YN
U3VUYY6h7/CFE/RVhn2GQ8N2akOjo1jMi3JqdbWJokRAWY4R1+EWszisqWYdwOgKDZSv026UbT+5
6ewFMZuRz1nZAsCJGtGy/oqXjdX2KXZjfTJ2bF5btgjK/jznQtsTTorhLhbjjifTTvbjuOVKlUfk
x8XtgvETTyMB3acl9dKtB8L4GW9kfVgKfQlkXveM4VpQ4r3oiT9yUzE7yNhxXPojdRYAqdS4CMkr
O0nPwIaXiuFA6pCq1+dX/M1S+nhtVMZEDkXpFt8YP+NUxFRkbho7IeJbGlGTEKmx2CYyotZJt1x7
d1j48CYOWTJg20lD8F13bIiTqSYNryRyOzRDkDXphKpx49V99lamcZhAWW7TvdAr9ZZlI8HXYxYX
YwzVqB71S3STbfIMwiOnjigBoyHXasPTMizrNMdMx6fVPYz+wRbV84Ktg7htsKmk5BiNhhI0HFIS
Zdjaxb7TV1YS9ENbakEVevMlbthy9jud2KBgGLUluZvNap4P89isnSRB8OGmKtsiorLEH/ubJQlS
2mSkRZfr8r4krVll+mFpophHQV+eIZ0SjN3oZvVMQpV5NFYkCkEwenWcGZ7fGi43zWiK+fzZkpTX
6ULeuxjov1jmS16tXT8b6dX2XRsuhgoauws7aDJWh+LZSa0NAlPe/RS5y6GppuVAJVR/ZVWL92oU
krAle6zHbay4kJGBDrChKfeGFz1tB/2SIsjWr2So6DZgzVbPbZdLIlS0fMFkyq1c8sljuDaDgFm9
yigyrR8xj4vlIe9Y3JPgBOOZBmoKKeaWLU8CY35G24n44+SNic7fIP1IAu+AhEUWm0BjUeNTGQE4
Jc0JJs3zMPcFp05Lf14hrrxqwNBg6mH6qO3UgBxt3ZoQVIyE73ouY/Q1TpUILNdGOt0MSSSuiQHj
wiIgJb9u7RxlN1lApGN7MyHHE5A82Ezk7BRntsQuuay8A87dogb/CnCCvOCmndLNYtrhsEWg4/6m
QakhSDlpM+nn0VIa28pzZn0zxIiqNzFJjl8rg5TB2JnRintOWkF40a1jJCYRZKqrXjqj/2JOyjmO
Uqb23uiluhkAzuVbDXYOCtHYa6yN4SUFtLxKhr5lExRoDHp2GZtjSECiNpfnmCnpvciGiXV8PJCh
gzs73YymEe8qlQWpqDS2+FjBzhYe8IswHuMzK/O2w0Hl5cep8Wo78KbWuDC1vD9KIQh74wTSiDbm
c/GR5by1JOuiDYY1V+Ct7zpvM1R0uShF3HLel8qcufuNhL1uuY/Dl4psC2EoN/yuMLvH92f4P4Xj
XxWO7LaoV/5z4bgiYy6/EWv7a/n4+4/9KB+Zr31iGcdMgywAh/EXM80/QgkkoQRI6FgM/i6/+wMa
Y8LPZjDnSo9FFFvLn6wopvEJu6vhoI2jihSMJv9O+Wh/mAOCleblwdMgGzOo0z7igJvUymn7y/SM
1zKZn63KIlSgtNzeAsUutVJuTNWqdD4kbEoL7ViJuLZbX6JyODBC0ffotea31owGIsD02vanlOfN
xVQ67remzXE1s29ol+ZQ9hEzHTQtuZqtO41JrjesWWRC1MAS3JJbtj5HLAADZCZpLK/1ROvdG/B/
I3HEtdMTTnxnlm3Y+44ae0oJU+UJxQuSGxrRuNLL4kSUiPInz9U2YixISyPQmxywCWbdWDa1dxcL
SFsKIwjLRhEYhdWjvkjLuujuQXOQCuWllpnrj0kDxHPAHj96AugZ8dr6RcJsaggWvXnFNtDu3Kae
P9tE2iN0mgmRDbgZactvNQaY5PKfC/B/w683uAb+2/X3//Lnl+fiVw/Y+4/8q3WjP2N1TAPAE8P4
5drzvE8M0wRiAEaPvzdh/wI2mQCbaPW49nRQOA57ov/fuumfhLBYjrCoYkBvyr8VEPLh0luFtUhL
eBcMPQWbzA/dSWrUwupMS2MKqfEMxpCxHAZpdfc/fSd/0oJ9bBDXl1kJvVCETN37N1b0YiCzG5dR
O3QL2s2MfMGtOejedaFG7a9G5B8WNOtHkuxmVoHHqkD9OMjlWKRQZs3wMOPQudaddrxk0m2e0Bbi
pYdJEf/FTJ4R8YcejzsNOxomx9wJ0SPo6/rhJ2zRlHUoBd02PCRzi1o+bKr+XMEOANqmFRXcPUh/
D8DXTbHTh2gkUhoW8bx3CKsuMbwQAwRxAl/2MLHZfB9AyWrtTWfZ6i/llLTnRnZyT6im3L9jKwq8
3H4ZTuUJpm9xk8O/3oMU7r+gOC1PcmyxAoVFchXOfXJlRaldbk1IBvu5Ieswibo5aIAL3gjNWr5J
gAUPMW7wB7cmpmmYkwBhU8kcN6dgFWZ2aWFmXIWK5nAjuqH4vphLdQ2dIv0idIowPN/5Dj9BufJj
R3+oSnXQqxA06NKIvTfCI2ybWQX0ahR75CtduEZfXSE1VWBWMvNZZ8GFD27NQW81dWhmAvc21iRD
B/OIqF6xgBRnZymmG1kt8bDRG0VYZ+tZO70T7Vc2M1JlW1YVbtds3FlFqvu6jgPm7hyXdbpzS+ig
vgo5z33QeIS062ZRvgytyzpziLzHFIvCrSRaL/aV3sm31OvqdGPI1i0xas8Vurg0mXbt6GEc4r4d
v2Qxtn0/Qch9redkZgP7iaqzS2t/MRON/ODNS+5nYdJuSVPn3EuXiF1AktrXiWncQvHT/ZCn1C2z
dCcAQtV+Ldxq3FWT3uN3dzQsRZVTvLVFEe9ph1/nFoNGhBLhIgLUA7thseMi6PhyYjREl01eLI/M
erQblpALfrLQowyejIxY+FHXtlmShjoWJu3OchJmBexeDiNis8Cck+zMSnF4Q6DWv2QGMOxgiRYs
61qfyBNfQbeNQ+e16XNfGaq9KnNm3JObv+mUsZuV/x6uKrksi77ITks4SVlDa7XH8IAwer+bVIkF
0NKZEoDSdOv+IiVkgbjqPsJsguvjGblByB92AXwN5jaunDmYXKe5DZGtnR3WdfakFG0gcgFOba6e
iUDOSzOzBHCm8dtUoHu2W62/zES5vPRTNfscWfulnrLsmgRTsc2Wvr9t7F7zy967bRqZBIO9PGlD
a16hTxWBmJfuSnOXJQDJqe7KUg5+ZMhxB7biBmDNowsGVxySjBx1C8f1GM+vpZNgbAnHgTxHZ8iw
hm9YzlEfL106MqUvMjtwxIDAcM4bZzl7Kp+nY85+dYZGxCACAKNGguND1ikLX85EEq6K+CKqZjvM
Y5feW23qAUjY0M54o0Ln3MeBNDqUyTZZ6RltZ5YAq2l0OOW9V5Z7EBqO+zQBl/F24MoEEfGe6nS0
0Nrs7bq0wwoLoah3drgAl+h2zGz+pFknY3TlNHSu+O7aUqFIR1llbmo0yPGFBItZEXAdKvurqLFe
phu9DLU4UCxexEM6KA3+5cQ98s1dcTmbuI977ZQBSBjaOzKOSK3fY37Kvmp2nd3JEdV8q4MF4sVc
+zDqff7ghrPW0vSLkMHU4JgnexorfaOWUQ0bW4vl3u5N4uPxPMFWm+yDKDQdR2I2E29brNxeEVfs
xTtAee7GDZ3wbp4H9eqIcp3IGCVTMQJOj1UO3mwzWOSUZ0NuHetOL0/JhH6sL4YFhlQTMkfXPHRP
jbXieF103TvDgT0Lip2A9BpWadnpHrLQGXmKFobyt3ehStNr5d0CczvdQFMdSP0dVXEzmVb9zUJM
AFUiTKJdtkKBa3pDvMh45OKAoKbq6Om5vM7txHnOkRTFGxPPBJYDt7jRVOZmfuYVvDdWzfw/W+uL
78Jr8wdT72EPZzhKtt5SVHdRQVIWnOMK9u1UMSnkus23/1SB/6sqEHUCdcZ/bsMOz+o5SX6e4Bu/
/8i/WjCbOpBAG8SKNm6ln11OEDM+Qe2kRGQcj8xnHe7/4HYK8Qn8J/ob2I+W5QgPD/8Pl5NB+iT5
RWtMnE75Bgjzb7Vgv87IoRysIjYqJ9gdCDLgeP5awTA+zxdc7eKu64jN2tRL0c2b0eB9rtx0ea6t
qL2JIQO91m4m7uM4026FbBgDsHqq/TzhaZh302oUD3Mi0xzD76VWB1zHDJ10nd/DPUVEqKmr5HPa
TjWXGbDpYxVP2W6whAhqA2+S0CjSYgkLOEmzeV+JObtdUsLCoNsy3cLm+41keBqm2FLWtcbVfD3B
X4Os1vXqWeIQfSaJeE5WRgqL7DgaKaParF12LozEkz1r9cuAEf+5j9SMERNJgfDS+StDJhpKzNEu
c/il/za2kbERNbeISOjGTRQ7N0avwW0ht0d8GUzIwr9fWv9lU/BLEfl+CMjKcjmqhOriFPhQRBZ4
csmu65y7pTXlEQiXHdRiQhez1oJYbEXTE1opCvm5cmtxLpXgo9UOUiQ/yfRxv8TpHGAKro6S1d3l
EtoxA0OreqNn1B5L5oO38axhL0nS9HKweyPeeDH33jwPvX0UUzIOHbHNntd+6XPTPgCDOrvICri1
ir0bUxU1TvPy00XyJ33B2sf8JPngQ1u6u57AZC5hVvs3QWPtOV4U6nV5B+cp/GqsRz+qKuOJLRPU
Rkb0xwHn+pF07T6w4hLPAlnQy65jBHk5DZP+UmO7w8OFLuI6Kq3sBGnBvgtn/qkxhfjG6BKvEEi9
6xi76tmMGlbiXvhAsIPYyyTJHzJ2676DV+WQkKW6j7VWgzVtOlvc8j2tdsE5bfb6eKEv5lvpDGfV
CuPQD6F9YObX9aDuzW0yzVkw2UoEOkTsnZ18zWuZniyrUq9JXLGGhVvxWrdgst8RXm1vjOShxKNf
j8OuTzDlcFFmV+6ocTF1WXLITMjUSdpuHAxtLP3Txb7wrKhAhOdNwzZh/72p3FTuYQcIX7CK2Lpl
Od1OJUcJ40SSXhbAMc6zl4tHgu7rb2j8C6yHaoV+2Xi3D2vqwa6Mu+6AQCMhra/XL8PVkOaVxnhp
ZxiQsHCvvpwmXtLD3MYEUS9WJG61pJ+uO7gDZ1PwVEsWbwFOs16bWrbcFKPqHq24a14kNLKzZbXS
15GT/VUq2a/3LLRpeBtZq5jMuiTHUq6bt5+6LozLIcQOV7uNex3uuRzKvWZ0+QMKE2/bugPYdbme
Oyw3XpXwyFzoO7ZllprjtxQwJaYJEZ6aXm8e3caqt3mc6wyT66dJWtm2GZziS9HwW7KR2TFkKrPc
5xz7cxWujCuWJQEGLMS+UABvJ71ld+jCw/TnAa+gxbbC53Y170Z8zusNtcpOrV2zPqAMhbGgDw2/
k9z3qzarlpv307ZOme4nQDFQnNgGy7wq/F7BoXzytIINamp0jwQ9NldJl1CEYQthjW9S8L+UOtyE
qtWQlMBuoIAYBmdvMXpyg4yB8rWnQ8j/i63qu+7wJ7UWX7+5gqhpWx02q9CBf/36VWOgv1/a8Fa0
taNteyYczOob7S4Fn3HZGqnQfQpI7T6dE3Y09lTLGvx+GU97D1YH7A6uwWEj8oZ1cDbWz9nIfm8j
G1VHfm204dfWmvkwkGiNY4PB6q9Egatw8sMHYEbA23KYfLji46CgZDvRGshXiPBZ+mBKjemqqaNo
1zhhjnu35D4TNor7hXC4xZQxhAIyS+pnPdTtC0M54XeuPZMb84wCanKNs6Om7BSLGkR9k3vhfe42
LGriMiLZ97/fN9+fxx/fu8vcBuK/K8W/DTkU+BB2iMq+rQabFZMi3uI7ZzMoMfZC+YNBwsFlOnXT
de6O5b4v1g2NwEgGkzIZT1XhIVWUoj3mtmqPldto9/DW5F4qq0/8thnK68XrkrOL+fGzKjArbfpO
dd9HHhMcosR6oR0YjvqyeOSXNIRBDZbKyj3lMogRlFN0My23oWEIH0VspAfN07wT7YcIQs91dqyI
IhQx8fQVI86yb9UYHhN6mmAp3dLDGCSmb0bUcb8ShaWtq3lhBCAO5M6sshcDq14XmyU766yujzmK
pq+ly6VOTYC3cL30QlR1by1dyhjQovL2yoxN4NSKW2Q487AtsGP7EoPtm153yy4l8vMrZ974zcqL
9Q6yfjWpG54GXMWXlr7w9ZHiIm7rpNUJtS2ye52QWqYUjZM8uUX6alZFdWS7Nx0zJTq/bcXIDpoG
Np5Uxz42n65Sg7b6L04EisSPZ7E0UYa8mx3ey8EPZQP36mLosrFBcGH0LkgWLrDN+70Z7EmzJ8Uj
9qGU8QHiJSbaRq/qZ0f0y81icE8KoqI7sv13kU6l+QkxRKfIPtKTzB+ZeRRsrctd32Tr5Wq4+suK
lvzC7b9/weI6fhsS19K2ZO0U7raLwXnuS8qxy7Hs7aBw9ZnzwCKubMN+ixlRboQ0dXIp2CBH2rSd
l9o9TlbxZVIV7kk37jChaeQ+ycZhksGFhdVl0Ie3xuaxwvkVb9uqqVBnLd3eWlMf3DxZS871uNYq
6R9xMh8wfozzFjs1221zfjRqUCJmRTvL+4mLDc15uZeRxcmais7ygW25r6ZrFdt2HLMTYBemXigO
NTKklmbPCCuuLgUhCNLHBB0/8BxIHjotzdEG1Mr04MwU6WPnWRIIZNY4EQxixG9+YXI32HRxHb9p
pE3eaqNaC5x2qk60jzyqusKBhrj6C0x4wEGP01vn42bc8vKq44vq1NqRh/3AZQDPaQnXgDnL2oKo
LO+jqO+OoW7x1FmM1HyJTVRjzCycOrsAPLSWP3K+ifqk0pjnNPoLZCbuq31TeNuZO7vua4jRzpGt
shO+6szbEFVUXWgWSCefcan5ZFRLQvSkPiw3KfTeYQNtd7ptqS0P9LqSNV+3LN+Fk3lHb1i0IB+K
DGCmExrMyNpFBdY4St/rnIR9ehu6GwXeFmdjQ5WJnbXd9pJImo1dhwwozCX/7rrqloQdZOY2ZSvA
yswt/VxlxZXrIusUBdB1HgaSb0bOy837HfWfBeP9XH/7v//n+a1Iyi0ErDZ57X9uU112DD89e7bP
/fMPnN3Vc8EP+lVZfnvtk9fhT37sR3PrGp/IYNBRdqLiNwUSsD/2i675iScrNr1/4TjoYH80t4Tw
6hT879p83gT/8Edza+mf0NE4tkcEwN9vbjHW/HqPhPJvYluCQoNU7k88GzaSFok0YDxUJQhSQR8b
xEspfRtAzexkLx4Jnpu6ogqAL0HBB+FuM1HSnzwimHy99+690ctOrMozuo78PHpgQF3NuRINBQCR
b3DqU072ebAm1FTlsrPwMEP+RoDJPl/uaqklPpQL6fM0v6nDUUcFg+85pegPjMYF/cSQaaNFyNBS
plW+rjfwjrPuaczl/WAn4FHral3Dpy+OVutbgtTJgzKW0a945B7rsX3Ce177i43ah15BC4rQfQA6
epuaxsvY8vKOXT/lVfK9inqmrxX5N6gGb4yYSbEo+TxOPfWB3jZPDo04Qhtm3+odbx51wp/YPm5H
zT22rXeMyr4Pwo6vZpRhEPWFCck7+y4yDQWGw1dZ0Rht9YZfmo98Behsv/AR+Bp071gkXbcNW/7U
yJbSH2tLC+IQ1cYQi+qQIkLfVXmUbx2erP6YWTfK4+64/iQaVW+TSCjdC0zhTTTzFdS52VNRG8tN
VOU3cs5HEHG8JCIG+8K2UCGhUxDB0PCGzNrJtsQ9fMk6UL+hS8skq/L7XPJIaUy6KDucMxiIM2MK
RF6vYa4ZfA/ynoa9D8Ba1WxhU8IaC/QvVu9x68dZ77e4oO5DL8xY0jih/y6RqRGZH5S3VocdL6ps
9+gZ2v37SZI0ODdmq+m2tct5YMwmHRP1WKvLe+UZoy/gWPuFbt+MpDEBvMqsI5x5uTNSuGGw1qeT
K8G0od7hLKKR9DFU0BMY9CxVJwJ3RI3nhIj5FsGJRf9W+3jhrzifv6OUx+kueOu5Sl5YDHLsF/6N
eCa0fwaeBNV7HVPPip8p+JZQ3IBMcevlEuOT9Ckun96Pd4FGcDPmnFawhQljojXcwH/g0MPb2gyO
l590I/rORc5ZTdXMqIGz03M5Var1WohATX3JY/4Vn8ILpQXHf8IMN9ZZcjXwdVH83pMb2wcK8/6G
R0N4UoxBL2OXq0O63ZMLwhrvO0fYQ6i8IUni6v3LACcPS1/jj9ZZ8VKwYgtCzA4n6j4brAcnbZ51
KKdKadwWXVr7olZIf9hP+mZf17ulYBZFT6ZvC0BxKLRG3kMUdxdep037CNfuGaZlAjRvQdLjclHO
yjwnCnEebhzOMga9PkuP7NITXKimzo2AQOA8yOYoD5CCf2dhlNyMsQ2DZz1B0mU56AY6qsnKve1Q
MVtGrVdtdOo6QidldmKWVe4n3cwCJnJchplX+e/HViv4+IjPkBaE6y2EU6Cs6SGBB9cQ1Tl+i5sR
hVq3ct8hd6dXzeXOMeN8qzRO5/cTYD3DucRvwCGWe3PmNiZHrm9rkcvh/TD3A7LzvuU0mjLRB2Nq
hM91YmsHe620F0Io/HIwgChKaurUTl4AhnMIjOx7tIIV0KRwX9G4mguzl74ojfCkt0N5dhN9urIn
e++p9EUDmwN+UJVnSHwZ4XVcEcOia4fI5jqtFvphKIpyh5CDjWNhlmdkobx6ye3LTYvnsuPmAFtl
k0wWqWY52k9t4pcZTHfYcDu+2+vmtm1RljSia4/KwRnslnhYJ3Ao7CsJvtPyaOX3QIUJFYdOczO5
DwdxE2Nj21N0zfsaZ3FQU9j47DtruCK8BTUYXEVuXR1AO/IXWMG/35uERPT1ftGOiUM3EGn3/O74
M+l4+hab042AzLJ30FZu7L5aHzuKk6mZ6h01E8evyvVt3OjleXKs6Wpws++SqIaAHEdeef2u0dJk
W1jZ8efB4LhapZMF6Da7rebZ3AItm21oroWfQR6RMUhltffC5nvj8p/B1AfvmWxRwv3E0vIEK0D7
6umaHZSaEflV4z4UFYTITMNsooYr4i5TdDg4judkYtWi5R0peM4w6/BIFOVqOUHD3gJQ/y2zc9Rr
DoAuJ2DS2WmbZWnTFwFCeWvUqWRgqYt7GxTnFvZfnV7OUTecEqVzCE0dnTTYT+z9Qao3KZEZSf8Z
r4azYuiMPHJ3bTeNqT9nPexJNuRdgEa3Npg1NBqBqsOz1lfVGxKAVwtexrCJzCn77jWmtlCdastC
AJuc1KEv22oni2yS9abVGnJQU5DsRWqNGsNjAWbc8MJLqaoFvrlZqu4KQqTnHkvUEcWhZ0isPc0R
8vaYjX5+DmNp9pu2zQ3Us3PWJFc2iSdzELH40W7LgfIhdp37n0qxPxmffpiArXUNQApEQY6rQ4f+
aFvOpSYWC6HBwU3med8u8XcCEz1uQd79gMqa04qrzko40//7636UWLy/LusKXTgsNUz9gyVVzpYg
tK8eDoZ6v9lxDZoJGl3FnJrJ/vf//mof1RXvr+Y6jGkseAhIYn4dNCEN06DtlMMhnzlB1kpAgvMN
Io3N5vsr/dME/EUTgNtknZ7+5/XWdZY/x9WvMqcfP/SjB5DWJws+AH4TNIFYHiQ1+B8aw1V+yDlq
u9TgSGT4Xz96gHeNIebmd+4fx/3Hcss0P6GmYajIIRfrz/09faH9YUZiYCanrsakwjuAOvRR5dTy
xCwnx2hOVs/YwbTyXR+P/c4seu/GRl5BZrAEpcWMK17Q/rVYvr7EvZ2iCXzP+5iQGa/b4UIm4Z5A
VLO9H+YmJ9dbJulnJDftb+QWuF9tBjyn2Ijyi16lYitXN2ajJ0kB2SvMdk4mx20/puU5rRvSY8u4
ri5JzahxkM3GHkrZCGuWAeKOEXorv448SL0D3DLELn0zO0+jmgbv80zDBXYpic/ofNFImggLS5/d
l4f6vdfip6HNuUVVbZUxZGOi4Jx7W4/7aEfauY7BDJAIM6JCJZ6prvIY8Ly785p8qa8q1ses2aB1
wf0uZypuMm0dsyXTguhbrTiViDg9fMAiBBPBDn0FFnuMJkijDXO+T+iuczEokFu21BXAbfbnvoHN
UX9VitnSEmQxVAFIgGVns8Yr04qQimJoF23FP5ckfpWeYJA99dLCBBh7S2MZWzutIYxmzhjx7Guj
WsRutvHSoVrStyWc5xXL2pOybG/HqEoYxMPGjvYim8L2yi167airsv2MpRehCQjnDSoONJddXDL7
0sZ9ZNfiLuPxlVCv66DWCCm6MXJl7xy5bhTrNAtUPuQ8dOZ4m1QduVVkQp1pq8x91VnFsar6YZ+V
Y9ODcqzI5hvz4eiNk+8OcbYrirLamk4cXdsCJRLV4LRFMJRtrZ4HdepEFcI4Gd60BVKTsNT6epPB
IkMLMtbXeep8QTEX3bC86j6reHRv8jobv8aFN20jSTXV1vF0w/lQ7Wa2q+jvp/BzLqr5kRJZw7s8
DBgqXBFulZG4V5K750NcT+Zhih2NHWo49RtCFOSOTtI8o51Av5MCKtwiacvmh7rxiBUJc+dL4xjl
XTdPmbEpwhhWuZ025uQnRetOfjUvy7FshbOKUToArkPZHxU2oL3Ks+iBJDDzQi4uMAejttW9hZAF
5xErsXQ7ADb+bigLu43pLisHmaEEltoKqB2y5c+4xmg8lX2fMqfs0sGipWTgfjaQmESo8Qma2YTt
MF4PUSQu0IdUB8vCZtOnM8d6yDtW17lTPlA4kOUduvWLIucMq/noE/PlnTjSRTDXJnnjXe1dLnM+
3YROF59KC/9rZJjLE3zqothJNYnXtGr1C41BdbppGtM9kZNK7ZXW30bZhAdEgk3AThubaOimdzLz
hicA0/njjI3j0VR9YlM7etljwwyNZpMrzNH6dr8u+QPpqn6X1M6FqkB4M6TP92lrztelLO2Tmjqp
NuWcpfDjSqldG+kKBLYRKmM20pPPJV7p06TVOFqqiD5vNCjTYtsjtiohHWVraUDSKjXUSOGgCvO9
9DRWeexHmu7XdqdOlS6ZleKPebAw3173WvslWdq7tNbct8mukDvpcsU92wq+CY3Tkt67bWpdFIS9
nfUeLwc+vnDrJtGRKsm9nFVLzks1dHcLZL2t3erVq4Puc1OrpfpshnJ5aVTFosDQVoo1eLWLKI2s
LxDibOo5IrQ3qmjm7UK49KUljOFrb2vkAOTEU2eF7i+ZYWDTnVrm9HX03IF5+JYrpNjd2JzFEKrA
ZiezjcfBfBI0KwdTcwUsPaXm8zsQyMochSeiFxpXnBXrV9hztV2Lh4PcLt2rbrK0QwXE2k4y35yM
q7FLMIHnIdTvTQyQfjqImCjASlk4irNImXdjDykAaz60hCEZcL+/46lYGc63FpD8czXCxxxWoCHT
Arb7M/B1/ihqus+RUZJ8hamMfkJZ+iWII+N+NrTuyo0kHrloMNUWKsm6nUriI1scGHn1bHhneBbV
VZd0GaeoXfm9Pr02PPNu2VLNR8iBnc8vhemdht3Rzmq57xtrOms9Rjnp1d4rRaT9vdKst6RuxNlw
x66nE8EaSKZV0LQpeWuFll2qKfYupZll51ivnJRB02usY1Jv1pwaa5q+VHp7NzWLDgmxjRGornwC
XO67BAPrXk8WedMYbRVojohN2jLVHSItvsqzMdpZQxJuYb4ZCN9ta59Gtr7jen9NafFuadkI3MSO
ch+5BncQ1lAnRXJ60JIyk1/aFR2L3ZXjZQXg76BB7CTbrnD6vWUYUBUq0KClLtXnhKX+WzN1mo64
w8gpeyzvIXJC68Q7nLdC1YgV7RpPWp7ZxeciRNqWs987GmUvfB2/6nbu9OSstZFL7ERZ7fuBbbw1
TP3/sHdmy3EjWbb9IpTBMcOsrc06RkRwDHEUX2CURGGeHePX9wIzuy4ZjCJbdV/7odIqq5TpAcDh
cD9n77W/a3VNYpZTUBexkyfZiB9xVQLm5vN4jhYsAFDf9OG14VQg+psCwWoWct7Th+a30Ltk3Yqx
vYlVy1wjBYZWEOCvJFuP7Xyt+DdRB3QCi6nc9q4OGZsW8FUXUNxb024lldDQMmep1KGyQ4JaR0YI
Kqz/UatG+lQNfQsGFzh+RvDVepxIWmDZewqd9KVOomauLtlL1U6odpj8Nx9d+mI0TcvrIqnu1DgF
ehEJbUPgmQD8r8Q/XQjsrJ2hspVmriyMxk8PMaqRvdbE0aaUcbUjwrKk7pa6ng7ldWPDUV4pkIu2
HKO6swhGA+/RQHqDFIqyolUkl0NZdGvdbvKfEvDQkt8OVzMQy3YMLa/vdAK/zAu6nqWXE81E5I2r
bQph/qzU8tC2FJnyKCfxPZ62LNHKYtSVRxEZ4yIMyd6OkokdRqpa60QtLu2yPtigetyGFk+foSnO
kn52Jn5zFJoncUFWSV6XzqJyQU9YUa4tDMD7zZQGG99IL3QSP765iFu3KVVdzxjjYDXpCPaS/Hqs
o3Aj6aEtpkKBz5iOB7drBSLcJN2CsipWcqInhWCYg3/Yim3e6YSJKbZ+hZIW/rmr2LfS0CJvgsGI
zUW8VLB41yYsiUWUtdlCi0qTD1kS8j1AlN1rAsJ+NlZwNZh+RaN41tDlB0vpHD7GUzgnIOL7dct2
N2Sk68Z5oIDbmZx9JsdDGplP8G7v/u8s9b+SCs6aps/OUhfPUf7ytgUDZWf+J/4+SFnWP0CaAzvX
NRO3xNuDFH0W4JXwG00OWjOH8J/nKMP+B/tuvl3Ix4AUomf451nK4PBFBhEKQpXTMwc9+4+Egh86
Kdg4UKjNcjXEN8eA75FmtA67ZvIKf036szlegO1/czdOFDW4ireyDIoa+GQ4+wl3JhTAPXh/3EdX
kKIUpPjY+TreVwelLeVji1v6z/PrvzHK/CveiIfIIUFGHDKKnT81ylMxvJAw+/83xFxFeTOEHRUG
VmaGoINqqwdEidX0hX7uQyEGCRQ+IQv65UxgOIalERCo5Z3iwGvks7LoFDdYRmVxyFBcwznItn94
Qa+juQILD3JYkC5HFzSYxPAWNtzGIgCg2/CXKAN3mAbl30Ljf6mG/DAJGGq2RrnOjG0w5t7g23un
NnSjtEFwYaET3A6xARsg7sSFKknN+fyq3ksQ6UC+DkXrkjPBq0Xp/VAiMVVYKAyV13l7ntDj86gx
j/gzpmFRBUO2JTVj/NO5waBzKULX0fxSmTiaG2ZEkptSRI0HyNNcaAZ/sTC04AjgL59f31HO1+v1
aRTq8HDi/OQw//76El0pp7JUiKwbEQmwd1WQ41ROvEs0FWZTWlfX7CFxcKRTeNGmw/DF+POseCNV
+mt8fKTk5jnz0nQ0a6iRlqBLg8ZzMtSnVs4Fguq5+/wiP1RCuZ+wN9QZp8gSaWvvL5L0PzlKV6s9
KSuxteETRESz6/5lqtGJm4ApYvMk6aaos3rz+dCn5g8UFVObVbuumJfyt1MVP+sgAk0nqZrW4brU
TeA7sTJSQFHUFIlSEJrIN6S//nxY8Vf0xPs7K5CMc7FgYdjIHuMZGxhhcdBVNZKXvP5Z2JbaIyyk
4WX3rDqmn6TfaD/RbUlbf09ho90Mjc4jiAexHYeu30ZlXd9rUOPFMsK1sqoxu2pm1pkcmYb+3K3Z
NxU+ZXFdDt1GoLe8iVQNUcrcP7gdiQSg92LHZ43V2UunKJ8yQoFjx2nWaSE6r43rJULTEOeRKyxc
4nZ4kZYIyJKqLdhUcQay6jbehWpqn6nOZH1XMqKpOLOOIf1GxTqjETwu6QI165DIa9Krs5aJOsh0
NSGUOW8xUtwhRkpXyGw0EmgqHB+ZvSfYXF87CuiUBtb31tCac4PW1R1h8fSTfbZcAOTTdaHX8c7I
ONCmrTA2TcIaag+luHBUjhYktw7I2Ibum27PYaCJI8/tCY11wZYecfzYiAvfR5pexCy7QdGGBz/u
+p+uzMZDN+ltQxeW4CmbhtmWcspLT5zFY1hioFmhqJvurB7H9qqfxEtdQ+PiAGPI3woHM9DvcSrv
wZg44WawpHHo6JUvIa0/ZaZBGhcndLnIJB05azStVVb68pwcORoQERLhtU/UDTFvdITZPKIJa9NY
ueRc/SIbhRP1KNtf8TTcGZP24hKd933QyHsyWiV6hFkW71RcgsmiDnmR8t54mWRRQ4frq8mLQQQv
wFfzEEx/kvetyr8vG/gd8WAn+8w1m/tonvrpUNlnGVyZizLrfVItarHF3TRnRGkx+gG9W7l1WW+Q
5aqI/GGvU8KwAjxiow+XACwdtgNaTSadBm9C1LSMtYnGShVz/smcxIvNuLtBONveSPKOllPNXnyR
ACk7pMFI75Q4hT2eBwNCRNGuYS0YV47L7VxUuvDp7JbaSmPbdCl7N453sWZlyBErwqkGUiH8mcEl
vhmtHxzGIFJvSDxIBooWkXmFGDXehkGgboVR+z98G9M9s0TxL7XeLUDahLbdLgyRQ3nxfeMKUaO2
GtEqEJsRGPuxrKvzSkEPJrKp21FetK59RVe2TRnq17bIgvPeMO/9rELRjCAOJ7nZqUQlVJa2q2rM
YCRUE1hFBdfH6gaPzy37Qi50qtLbYgyd30acOL+VAIt6A3X/rLaF+yNEvLMOWiqpC4Q46lpppEuO
vTvfD5+AsJWYhl9p1XAnm25AHBOUqicaMdLSdLXzNAiMW5Wa1tofESgwmCm2Dnb5rdkb/aOj+d1T
jt3goGaVyqFRS635SBwtI9Jv9EVGJ+mnSEjnqzi8XGKe6J9rdMsXeRu4V4j59NvUlSNiucYBWFIJ
8+wVoMmhGGVBWTvXADfy5zE0+0M9ok8f4lBeDk1l4QWzx5n7Yp4lJfJsUZko6kdp3ZRUzjlmjbBP
egWNKtBHBqjAfqKu03x5qCcVgcuk+olNzIxlriiGF5vOJ6YXXiJkwzAtwhtKhPEvqvqNJzoWoQQd
9papYa4Geq+bEizjVhZ9kK2aMmrwJYbGulWN6iztrWluXVbh7QRWnpzjLuXfafqhtYpd219qdj7t
+bXBrYbObk9duTozQe8sU9OPqmUMnh4jWRa7O7p/5qYg0m9lGwG+kMYtNpCaCiQxgbIFOo1IM7d0
5oSDlGDDAYFu+1jXO6VWUy6jcsaNj/5zDbsOopyG12zZISoM0QCxwdFyEsZzNgE/+kpKlrEuOaRk
lm3DWB2XklXgKYrcaY3MyPYkATAvtoq+SQuwotLKx3MIs9ChsRqXz01SiB/AQSjspnRKfjdui5aW
Q/KVC09v//rHtdwyiao06t04BNg5JtPur/opxk/gjIgLoEaOa+YwsLBROitDBKgfX4eMphKxIwpI
LMbjDLDRU6n+SBLZPNhz07vDEUuqYa0r61cNfV4GMShARLsGrNLvsREW96QnZ9tXp4BpTv46moTK
t3qOvKtUTApDm+yton2m1Sp3jm05sBvaGF6MD7uHz3vC4ll3l65UuX2vgvBauNGFlQzdhSAdm7KJ
KAaCX9xRo7YtYH5qOtZO1emyPTFFCELtwpIUjGbRB6YMfrA6oGN1o8S6EZAnH2XTTUgxGh5dOau0
zdJBqdrPCvSpbBmWfDPSA1BnLwQl7+WrdruMrL6f4UFy7eioOgEKYZyBevvLpUO7T2gh3GRwEs98
LPFoWFBgaRUmVt5+xdlyEK135DYl970budscB8nNrMBdm7Nzw5Ey3wYJQgfcK5MHiwtFT2wjC7ds
Za0L9CKF26BzQ3F0rdej8SyyKl3nJROcwlqyn5jRS1s1yAo01Pwl5hu+0xoV2kViTfdMpODaCpXg
Ssate5PHOMgtA7N7VJf5FgWV9Sg5i0qKqZp/nvY5W/Emy92t5ivDNUJXhMyK2r10tNnvMrv0l3h9
Y7Ga9UB/PadEDv7vEZokAhu936hGKS7hSSLGIHLnmriecR+nWrtWzCH6nreNg8u8GzaK2poPejsa
D6jnjIfYLMdLvlTWJqxCZTVGkbJSSiMkxMUvLqZAqb8VYUbQN1FIayXRh8vXuy5NPBpF4zhXWqJu
CMEo+PA18Rn1XwFNF60tYTr9nK6ibqiwq2c2Pvp17sZyl40S5kiViSX4MIOX2AbL3GpjeuU7ItiJ
LMRa/DqXJwf9m6sYDvsKxzibnGi4pIpG8gtG+qUwJGQ1XALJFXqKbGeNg/Xo+rCGJPphc+FEfAzV
yeDxT9V0kTTFdCFmsVdApTFbqmMSsgQKXOtK9IOGEI6VsBp3WunnV3Y9TfTDyK5Z0DoZ79WhMM0F
oYXxeiIFcGMLANIpaaqLNrHjKz0JlQ043WRvtJl5FvcYB4TdK2u/Loerym74dNthTmxqVdC5GaYM
oqmGFSRaOCJ013ybuh3Vzoluo9GUF71Mc7HEMlDctsWQb1oWHPZAud2cCUOTV1VAR7VuEd8EYTrR
jgCFSimt3+ga1pxFleTKbfNqTnSyjh2zoc+KRZYN9dV7IE0oAFMTkb3pdCiZqnL2Uog8vVdbplNW
Tmyr3Uj8UAMDy0+GpM/oe0TyIHVaOJooMBRKo/uw4cWMBPj8aSCJqk5se2/1xrh25FiT7ap15QLh
VVktMteCYiW7GURIcs10AFDLO09mF6Z2n7+5pYkTSELjwu68lcSr+fzRa8rAM7Fvov8E+8rYRqo+
7Wh2Wtu+irbzFV3NsS7LycUTiDcEg0IbZTfakFBnduJ8PZWvpVx4vMD0Ru1phDNN8lVe3RApOQIy
i5SzwO+u23K0F4WBpaCPlRenkvZGGPkjJjGxgGjhn3MZyYrcJ1ZO8mbqDW7Cfk2/RtuSC9QtcvYl
Zwa075aAYdVes0MkaWkyyXUOx2uNNAVka1b2086Vn81kXg1ao2+0oc/mfVu1c0JbW9hTdNsX4bSs
HSXwWK223IhuKVQjJ/yG4x09t0cFNPNSxnpRLHDK+Sunp1OY6LVcqQ7t4NwsDTRmJdebl6bBrgri
PCt2fjGU/kWZhwGuryBfWxGK2QW8wnY7A4GegrYzvWQQKZ3Jduig00/FTYlzF+1/gEISWkR4FsZW
eZ3nSfkI2RmNrzZm3xulbH+WnW3d2KI2BvoEZbJrO6juoHYTzAxh6ylhYg4IPCuDJkE9XRPUVN+U
5LCuu6y1wTwOZKhZk2WBR6hJ1a7DcJu6U7zpqoRqnJpG+yCmibAQEutdPWVngl63R66R6darvgj0
vtw4LVSEsyb/wfZefMew61wIt5XqstbM4tBVcQ23qGj7ax92706OWO9jqMMb6bS8ilkGPCNxlVmR
UPMUV4Nv/jBCo+ppak/jlSFkfMhRs20AOdXfrZr91QJir3Y5Oq78nqShvU+MKH/wRxvoQ0Uw+L06
fyEt2MwLNXRCb8jz9iyMHOMizBr5kEusqCQw9ntiyLszYguTn9KIceARFghfpZX+dWeX2a+sIdS6
swSI/CYuiMzzS3tPYJRxXktO4GTZqbCiu9zgrNsgLhsVadzpIAvXiW+KhMSlLrwslPEl6WznUQOV
vVbdyVkGAfpWs0njZdzREGOPN/EpxHrXLlplgLI81qxkcRp7cdmlGHIxfyDPrq39yKliVYT6tOiF
swqaciK4JbtFa/cIZ5eCFqv8gpqts8rdkUOxKB9qPdZXiYU4d6EadtUCinHltnCt7JYeVnEup1RD
gu2zlcK5M/oBXbSkdFrF0xs0rx7HJUt5GWUKIqSvzZ1AiXsvlSonpL11tpxi+oWmRP5dqisS+red
0q2o4+dB6MVdXCXVY9mWg70tFXMUcPMI1dt2hemb8D3Y0hiKzA/IgEB6NEU0PKGU0bpFC5tr32nt
Cz0mGDZUds+R8uZnOjvbn3mpWssRYufKUpLLqejoFDZA57YysclR5FGd4/2jHe1WpbykEBhc0ta2
UMancbN2HLO6qGnQLZs61r7x/v8ioXgmOJC3u2htDV+0L6e9WzTtdYJDga5KGt4PdaPz4aLZJQAz
HhpSAX9QBnsy4qZ/MsbhZmqx/qAlDbuVkvdiG1doX2Wp6EtetfSGLLteLsOwqr+ZKloaohCbjRW2
6oY8QYAUzHhPcQpjS2cJfGtijSwudWvvwszlbBqTUmaOM8OMlXBh6kqwAShq33LU4XsSuNmTjzlq
VQbugzEY/ZlaCg2xiqWtqqGSN0Zk/LJTh/4eRa0fweR3my7pHRAc+hhfuO7Ub8kC5I6RikzaBe1v
6ivcFN23HxB/G7dRV9SbuI14YWs3XPQ5eypaaC7xXOZW6qF2zRnkfg5quxrKydoDOqUJ3ktrXYI4
fy5c2Ndp3TuUCfX40iKHLoc7wSlGq9ndDsCOlgH0GGjWTcAOV6HenMmddMbs4EeKdW1XarCyIMle
irDTf4sAeVIR9+W6Bsq4J1yvvcpNgGipmZg3BoLQPFiOk6+032OaiX4INTJjuV130GxXkxzUg++3
FrnjZbssZFJsx05PbyQr7kxMKtcuooRtnba3JH9AaEcrudeDYtzKvn6CJWB7cRDyxWIjuGchVbxM
d7tztnJoNzD1XTZBlbD/xQrQyriLVqCJf+hVDLfAkW3FEaAKkx8Fyn/1TODtPANAi2ZFiXomW6Pd
tpoyjEsFPZR7CSAh0LDUVGS/6XVRAkbJKSPTfa/dy3ys09s8A54PFs7dhlETrEpKWLeW1rwQcEIT
cmKrUuNF2KtT/5PIzmxvpsDf2FRxSKo6SHMiibFQuLR9G+Ep4Bj3vP/mo51Z91nA3tjwi8BjV5iu
KHf8bDCGrwrUGUs15vs69r0HM/LZ5ggyxNM5gowDeyiLyhllIqV1xE/DTfszY1ZDWxU+LRUM7VXg
C69zFf93aOnmNSED2qEZ3N+ENCj3Aa/eHSZVet9mU0B6devBXzWOsBGpmMVWhW6+1qIqX1lgcxZO
TgXg80LoqR6ITtoMFBVKoZag9fW2/qo3WHvsiPqrXeFgFFl3R0z55AUWp1vXppD/+XCnOhM6zRZw
BXNg0LHmlsgBVSjOyHCNNG8rrdpyAhjWFcT7L9otYq4cv6/vUtQGVAWNCSkkle33V+ZO099FbTIo
+p/EX1DiGv3210AcDlTkVFxQV4J+6Ezqc+jPJ8qeetznl3uqeo+83bJBV+Of+tA9sHWJAFetPd0O
jIMJCPmiDKiTfj7KqZvKI5xr2CqNz+OoYgN7ZWtk9GBe2yFd7FOPdMdhIdBVffH8Tl0QqdIchCCx
0GKcf8qbrlxCKHA3gk/1+r5KUXwUTyA0nj6/nK/GOOruRKbULN7W2hOavJisems42V9+xX/ZIDs5
OV5DiBBEz9iY48mBBKOvNVl7JR+wC6IatL1WwCieuj56RNXIlAT9NcewQ5omAXrn+PpXrZ2Prx7a
b1x6IARxIDNR399LwyxbXSlASQQCdKYspDXbPqrzVEEAgswoX/3pfWU8rIYA3cn4tY/fvYq9lYNO
r/KyfGCVssaDHQr7i/Xk41zU6aHD6KG+o+mvZsa3E8TFozGRf1x5kQTMBxSelNyyO8f8+lX+0YmR
uAjHtIFDmrMI+v3tc0GST+PoFB5LG6ohpTnTR/u2rOP7z2/bicckbANODc+KlcuYO1hvprxVZokO
yK3wpkhd1+mz4pD1meTLCPLC5yNpH5uNeLXeDHXUbOSgagHzZqi2c6ne5UaAztiWpEoggVlXXT7d
jSaNaVi0PtpogxIflkP/O2AiZY2jSq5jWkBbreEsndU6VbDMmJK96cTlXuqDsgv6cLrwUzaDRpUj
7iT3Zc3mSq5TTcZyb3cY7fuipYw1glVectbG3GVF0xcXemy7p6tJK5PivsoLgOTuuOuXpgDEXQxf
3tSE8sHFHnkpOucboafRcware9+mZNfWKRQL0rU3Njg0GlfWzrKydWTSnhGzOExr7+Cj5UsJ9j4v
sm9lj/wUXPYiK5Jq3SQYr6pIt1G3xro2O7Sh53eavUef2y4HQLkeDa5+JaWDD5Hw5BXnePs8QVbM
AwYePbBer9ygX052MKwMvj4ud0ub1Y2wyn7YPsSbz2fAibmmuTQjUbCYgD6PqSB+1lW0YUfuS6w0
5x1egR1PffCCuMbTNvh6730+4MfOLyAA6Fjgq5C9uMed36rAjdWXWeG5jjR2FF3A1QS1PLf0Um4B
+cvzkPrLrRG5wdnnI594fWlrY2zACUR61PHrWwdjp0AVyj3OuuNjZ/XiCXqMuAVyHL98PtSJi6TL
y2rEgYf/HPfQaY6w6QQs6WUdVj60gFTyKQfj9IrzemcBDHKWDV026HkalbvPBz9xneyrdCgpQNpB
gR99aewkaDl75rnX+AAeqh74AFT5Jdis+o+3Aca8SAGSQNVCcOfRgshBsAkAMKQeDtWHcYQCpgE7
4i3S9T+epmw3EEwhjEKGoVpH11Q2qJKDrk1pLrb9arKovujxVd+bFkJB69ef3kBDJXxu9r4IWknH
n60gSktAoRWXZWa6p5RjXtBIoLBLZmDSfHEPP76ADMbWhnxCk67W7MV/u9ijnRWh1WZcmWLchrry
UE3Or3jQb4Pe+mIPMn833u9PGQp9jsWlseZ/yO9Dbj3mCt1YvUzRbeZrtwCUZKfdtJjybk+t4qvd
6OkRyT5Fxja/dMefF6O0nWIesRLdPnHLZ3LNbvU6qXCP4x4IW+2LNNKPc59EUOgFr7sORjyakWbD
uUP6duIpbbvHXY6xAKaopX4xzMcN4zwMGhkdsxs382gj1TnqEEX8q71O0ZRbxc5BUw58ET+fhx9X
EUYh0wzWugbR79hINxDcl8exSLxa51jLcW+Zxu1vO7cOcSXpqoHI0sevEn8/BOvBE3xdOGwMXcQZ
H79qfjZJF/1L4rnA0Bd96nIWz8sEfptLq+7VwNuMM2FIKYwEVs2EIRPEpr2VQxXsIGKmm55t0TSa
FVEuiJSDsmRzMG8LqkIzz9DGWHeu1lseSBTzizX+5IPBpc6ME2RMHz8Y+pIhBileXUpU+Toegbop
A8WOzx/MyVmGrhJBv6shfzx6ZzOj4jMCwABAvZ0uiqLz1ETcOrb8atdy4oU14WqgqgQezhn2/doA
hUjHH56zEA2lTjfbD3eDpQ6bz6/m1ApksQWA6MGhnHv3fpQpVrUhaJUEBUED5YEMIzrjOPmbJv3R
xcaf76I5MyIT5ZNBTDc+2PfDOaSdEAPDKzom/q/53tWRdchq/+Hzqzr18syGVwCeCNngZL4fZmiS
HGASLw9yaec6GQV1dt/8RcW12NSB6fzs0zLeoWL5Kv/11Jo3k+PZVyMZ/HDooX6ihrrRJR7mpiuZ
K89TjK0vvi/j6Yblevv5ZZ6a8Bx7AIoaHPs/qAVTrtG2yibxyqBMtpll2sjLY2X1+SjHGchsnzmD
czM1Pkc6MuejddVttaE1qbt5Ttur9xF2ko2C4njhw+VKKdDb/V1MDDowcdldVWOeXJqprW9DB2HX
NJYQDAOA2KLy23XaOzRl2zb+6nQrTt55W8ypGTx19j/vH3ntN6pJxiZfm8GgViirZyHdAsuG0+wi
23loB6oTdhlSycyBQiV9B5LJLZ4I5ltOVin3ZZ8ZO6pI7oJchnLhhlzH5zfyxLtGY4stqA2Bft4f
vv+Jqc1vAD5ZeD1pYeUk5EYtUVRhx3CL8fnzsU7cDvEqNDRnxSq77vdjaWKE4elItva++KVScFhl
pvoMsyv34KvHazTD8osdxomXTgjK9uxo+GJ92GJ3NcjsGiCo18fmYxgFylKjdU8xs55m7l51V9VQ
42nJdt6fX6sQyDmpSLFBPF4pDQUqfu00hcdZ7bKyejicdUqImBUsiHm/Hx0z+PN9GwPOZQBNcPo9
jnbnXellY4CiUQhgXo6iozWZ6/LQV27mZbhFvxjvxDeH8dhD4YdGuPr6hr4pCmR+bZBJyK0dOiCW
qVFjfyHeF2CJaf87Q+Hc1x3yLxDdHX0QStuIZJZzRBPwdq7JYZoWtS2ts6gV4ovl69Qc1XmhZh/C
LHk+mqMduph8ojLgNVl724bFi2lWt/iOCYEKqgNoJvnHhyMWMEwXmgmKkeLK0QsoBgruWjPlJCWA
A1RBmNVtvSqpA3wx0ImFGW0xWT06lWdsHPPzfPO8yqlHBuJzBEwDk2AwIJpTdfv5pH8lXh5t6N+N
cbwqK3ESGwZjoOoVxBVE5b4xG/Ob1lowOVKsklFAkh3MyHLVWHFwV/S1jWKAhg0hiwnFv1ZZ17iw
loUxIIMBGLDunTEluEfW+8kwwoPm4hvOR4iNfgnVJmtQaHC6HUnACPwdblXU2uqcWytqBHsxPbxv
kwuSUc0F7sYia7DKdpXvcoAagqs4VdkdFnCZ8wRDXDjY4VbUzQjXEp1Wp4fZRafUneck7m1UJM2S
O4wdm1oRBGnUQh4KJUKM+6lc+21oohhM+vPC0KG6RHG7+fz2npqbfMUx8mKhoE9xNDdhoQI9spib
aAWfq0E+A+y6MnQFDkGx9vHG/RuvHXtuNnuU71HGH41nhpCt9GDMPRLt5prTZa8lu17mX2xeP5b8
CG/CPkHhjxqB5R4NYwxJCCDAzT2UpIcSQCbCIQf76R2dqAu60svW1J6COv/iyKSfHpcqLXeUw/Xx
hswtsyore5OaCNbzx3BQcQnVhnJA7a6maxrnnHEqM/PXEjrmKs1RCiltzkJead3OROprxr2y01XA
skIa+dJHHcaEK7cYP2hjufEPU3Qc1IHdLBN7ClauJL856uxpFQj/RksMXLWTWS0SGRvJAk9fsI75
PSuZli8Iv8V17KTTthz6aoOji/89m8wlnPIYm56t3Ve6+dWjOLWmQ9MQwC4oM+hivmVv1ohIbcws
T7rcU+XziO9lMfbqNhGy+2JmnVqL3oxzvDGCPAZN0u1zzzFTdZlTb1hmYbj+/HU5tbWxdLgvJkE+
ZI0dfTXUCnZ3ZdS5R9MJDiWUWw7jD0USIqxtxi9MZycHm4OJ2Pjibjs+RFg1i1EOWQkRjpVxEp22
nVFukIEhqJTRF7fv1EJgUfbna4Fl78PmNx1H3YqRUnh1XB+0xraWwh8firR+Add5yELrizv5IZ+I
3TanB478c5lUA37xfl5MTZlyf9mnxQN2/2jSxN6Z6n6nUYtfFboSekZZzf5bV/8WqaSxjwHKZkga
+YUz25DdwhjvwKfyRjV+YExf3I9T05bnDHSUss7s43n/88gDbhRyUTOvr8oX3Q3uyTK9SXWayZ/P
qJPjQJ2aUZXW7Jt5P07TkdlRIsrxOImWVHPkcz4q/apo6y8+pKe2rRSncK+p81/so/dQ711k3Aiw
gKd4ImzQufX5oS7MfeyIq7SobsGwfVGoODWB3wx5vGGNJyNFqKNms/l9G7TFi4t7mjjdfV10X5w5
9FPzlxMpTTK2j5yFj85FsneMchrsjGVGG59kWP7uyYtfdqlwlpRvg6VSgvjLWJHXUTULjhUxy7Nq
lD9u1zwYFFUe/MppvFZDtoy1BbNBKOubYHKLlZOn6TLzG2cz2L1z75ismljtG1QTSjOspmQubRba
b5X8g7WNPX4o1ae4aC/xJJZryZYvIixnkY06IT/ZqN2UKC/52GvmF7Pp1F1wZ6cuJQ7m7XEDlpTZ
psEizs6vnHaTnGBFqsYD8IAzaqZksI79FwOeesSzPQPHoE2x9fi2l7EIxorNkBdVroI4pgWVOXH6
JdrLx0zfzMLUz1+YE5fId312G7sYcT6cLl1rdDKp6amXAExeh/VoXeQQebwxLpqHuBaThw7px+dj
vuo1jjahaG9A+2u8ohxtj2ZXoIxQl5w08yyCfZZh31o3RgjlMgdMchYWaXpfwjpYxTOu8FWn/Jpi
QXwPDGW0RFul75HMfvGjBEvD8Y+adzccfjgzfTj7BoM5QW3ljW4mHz2bHhgbVGn6pvFrIAK2BccR
cEOZmunaDUBfjPRkkF+DLvr8h+gn1rDZF44cA5AWjTbt/RqmIo2wMhll+JbJY1u8ipsjPZ0OCCxz
84zHZe9kjCQRn0WzCFKKyELJ6KNGddhd93qvbsbRVx9Dg403GHD1kW0xsRc9UwrbRLJB2QORsQ1f
RhSZLNndmnD2cI1g0FjVSi690Krs9RC29soJzrQi0W8SPR+ueG1xooBxmB5Cp3X3qWp/V0m/+uJg
fur66YDhQbfnDv1x4YhyWwy3Ruf602S4CfHnegOxzg8RyJbN5/f61FCoL9Ea4Ebns3H01aTpVFXZ
/FlyCz1cgUGaLT3g7fbgJYOHz8d6fW7HE2yu/pJbSJURP/f755orVtr2MJy9sjOh3Ekaxjg+SEvc
+lAxVrmdijNRqP61HLT+UtOU4KBJxV0SFVpuCfysd68/6I9QeBfRzxrS+G/5H/M/9rMoIVcEofzP
/3j3d7cF4tPs0z+yfSlmmnRz/Ife/Wub/3z9v4OXYoZQv/ub9St44dC+1OO3lwYN/+tP+PtP/m//
z7+x1l+g8ARb8TeP7gMP+7/qBJboc/Me4DD/M3/zGxz3H4ROWmy23NfEpjdhuzDyQCa4VOsMmiHO
K9rhf0B41j9M/hEa2dQSqF3MsqT/B8NTKdSYLq6jvznZ/3P513/NIO7cv9QN0ep5v5TN9TSkzvNC
RoOQX3o0rTE5akaptcbOBALD4UzpLutckh/kh8M+DSqTzmGBbK6AkvTLLBr73EyMKsCBIfpvtE0R
XTal8pwSqHSR0JW/nHJfv7XiOELGXVqI8BvDvgzTrvk2Iqe8zRoz3SZtF+2ywBJPRek7a7IV4j31
4bUciYkh6y72BjAG0OFjyhyLBiTeT7VMwA6x3GlY8RPtpm4iXr08zc98W0+3LV4NfZD5RWHOFKPU
z2iGZ+FedE2/y/F5ZctMsfQVb4q9J8elTKlgDFdF6aTbMnWIgW8CuMG2NWiHQWndS5sUpQsxRurF
qI9Kt+gKvdpotki3otCCR4xe7qVQkmsxWO2Fr4lbODrFSliQ8fPKcBViKUv9tz6OKG4z/J6O6HJU
GVktr91RkOkd2/paN8yhoaEdtVuOTuWvvmcQvdY5qkZ1ukVQktxVRkyEz5Aa8bbMhthzGylXGC2z
lWqP5GphYnwonMi/wsTXH2QRTT/dsf9v9s5kOXIjzdavcq33aMM8LO4m5onBCM7kBsZkZmIG3B2A
Y3j6+0VWqa6ksq5qLdusN7KUxAySCAT8H875zvRWq965JsxSduiE1dl3SEFnqg1Ix7azjYy9/ojZ
TH6rnH5c6RqSKoJ1vcWjw6/BRGnhFqyGSDi3cca4PbEFDqeGNy2dSOD1S/Yulqt1n5XmAoROvWq9
+K4qRLUn3GNfElS3SmQzv7paya2U2vuJwJ2SL++yY+e7w9Y3o3hvV2l1seZgtjcR46ZDOpE6vnbm
vD8KKDovyZRF74FEJZNnvjjEgjhGoQf5FMVudjczBrgj0XC8qc6d7DXu3PaU0++TH+WKbQVunsmQ
bMydN5Yofwoe4td5Ig0ZC+u8mcCdleSOhcFDnQmcrMjwQ6j5jia7JTMvWIuCA3x09Oa3gvqrH0dx
jn2/3E1j7xz9TpTbSvjZex8G2ZsUqXWuE+FdKxp9aHpYo0xDO0cbBtdO9Q2eNtBHT/nsRADU23Jf
Gf1e1PEQLzirQ+jxwn6HQ+3fSeDM+8wqBeLxkolUVbTMtdzUuy/FcLTTweV2xOhvYCTq06T7TPsQ
itMNxbfGiBV8Smf44cmx2ieT0BS/lbdvZIzEHbrXagpq+8Vxiy9I1WRAGIlrvwdh/dTAHXpp8W1t
Z7M2r03qg1Uf8YoePNiqaISYi59TzYAJoLYvPyl28ksA1LmEv+eAHIrDFHjRjcU+Z+VzmGGk1MCk
1qYuqiP2lWo9OE6293sMwfSf1WPgtN03JySgdtGx4eyamny1wT80g8R3GPqsTYIKhnOZF1eGh+WD
F5c7fxo6rIRzvXfRoWC17QsgaZHzDjQ52weMeDZTBhMLQS5Y93rMH0Rr4lsfZbN0ijxdzjjlFrnw
ircAKPQzBHHjSg3ZLHlDAxOne4Hy3rfEhXSOzVD68ojvN8yXEYr5Lq+2cTuYd2EYlVtZXoEg6Dcj
Hhp8Go51zc3E2dWsWttlOZj6XJtafYHI4SdxzdVgYqZorGFc0xwxG02RA751wSQFHNu5zBZDMDXr
ep6S+xkk2NYYO2ZP0+QFS6XxGC/D21gwiac1oQJtC1AKztUKvftzMk/kNZdoIEimTCSPuZYUPDI4
5mNjjPJuqmNzbVnGW24XKiTGZXbWWRmRmelLslhV7S+ht7+iKzL3pdmaawTucmHnRfOt9NP5GDdp
dPWq0N+3rTdW2BaM7gpGsFgFpHJ4tWg/fVyg2xzN4YW9SNUtReWYZx020N9Y+pcLOyz9deU00UvE
qXGG0py+wjjJTjjfP6K583eciPNyyluNBt8lO0YP+anF+7wEMRSdqt5Vly6P5V1uDvLFiLPy3BaV
WDdWm2zYJYDcIgl+7bXSeYW4Z+/8jt9SxWGzScfc/oHorb8bPGQiriNvh0s/u29pVWbPnW3h1SHA
lUAh6A3bfk6LdTMhlDOsOL1YFkmbA7TthSYw7tHsufTYfefVNHVi3Y52eGTKgC1wxCR+7wT5wI1m
DUs8mMwDBZEp2ylxyG7Pxm5fRLN4hsCxzWBfQ4GP50uhHXcttMZMNZFdli97o3ZZaY4bX9KuWzqx
D5GVFB+DtEkPAO4CzJHjNuMjfmxjW+zoUsYGjgaU2ALJ4aqqB/OtjImg5smU7uMO6AAzwsvc58aX
cAPzILrQ2FRJ0N5bWV3uPWCEG7ZK7bWchvCZkW28sQideEx1BqBRB7GxnCbD3zhpoM5qkt/qdp6+
zLnn8d+rbsYpObrJdnQGC/JZSKxAaxy92rR1t6hVNiLJaQavMhagEEChVUVmXinrFWd/nidkWtxo
CzmAuInOLuquMkFlgSE2yhajgEWH8VINkP/jUP6EFVHsdZniQBoH40QI4noK6+qidV3sOq9/9xT7
OJ61ZA+wUO6/FZ3/7mUpUV3oW8r5PWzGB9b3BLbOA7R6R1Z7VQfTWsnsCSe0OIg0CJ4IH7Bfinyo
v2Bfja8q5i/q2je41bOpU8WBfMjM7A+CSb7utqUP6tC/o9SqE5+whcL01pndQOQlayQ9jTdMb/+L
2Ct/0XtbEsOQCoL0LX/hfZlGgfo1NI0YuUjb/m8g4BsTGAojeGDBA5TaC2awdaMHSwIEqkN4Ywq3
N7owRV5xZCRQH/pf7GH0MR9mECf5JUa0cgxSViiswOY03pZ4AOEXj/B3wfsmN7JxmEJBfPZkPHpr
XDpkLDRGVhBhhZViVRsmOHGWdRvtt68EDg8LNZLJYU68k13iviIlGnZA6smbqrr+zFeOmwhmP6iR
9JApFzILTi4Q/A3OsYRTxggIf6cWea5nohBSVr0HThDjEU9xciJN2lomtTWdNbnIZ4yF3mHuCAdP
s+HTLbA9q8g3Fq1r9FurHieCFm7lljPjso08Rx2zbF/EmyLwp5Vu4m4XlrBcCxlm2xZbBfYz91rN
abvKpZHsSTDs9n0cw82t7OzQmcnJt5g5QWAVJ1zsHbiOQH70DvLhcPSmbSZ1tsm7NlqTzxKvFZ7Q
9RC7gpyGtOAgi0W79MY+3PWmICcNw87WIyPuJ/wQymhRiGxkn8Ae9jtBGH742po9DuWvHoNf4T3H
0qXiQItN+1z+bWzxl5q4/0Z79t/r8/4HNXHIH29tzT94cP/Uxb1kKsnq7PP3Xdzf/9JvmUbeLZSX
10Ghwqbklybr7zzzEDo5kylatb91cQ69+m9tXASHD0kLqnDnpgs2mfz+1sbR4ZGOBJzKRyzMhMv/
Kxw+VCh/bOMwH0WBg+qDFQk6T4aCfxwYEBLP8n5KrF0YTnXJGJUlCREyHpEYkySPxFmPdYyRmxUN
1VKSPps9tR/7+eaYpUl/dhr/ZtbSzsYLYovbOuAgTxn8H5Vfl09YSQDdMoPay7h7iskXYQfTy0/T
EYXKVooL/NwyD3qxgZFcbpSfcqFtQ3334ro5NmkSnTBaep+1CVh8iY/b+3QEaOnFTTL20vmN8aMY
g/G5cJpq/BEFOHXyA8bc4Zw2wVpV7NaSMT+SlyLCrc/z6Wlw+ODmi8To3XPPAX4LcmoQS+JC6RZz
Wuu1CPNkEUjFlqLKpLtiaTmeLTWWK1Wk4UdZlKF9bDsdcllAOeyscUhAsVv9EkY6RwedOYvYEBXw
xpImMLa2+OYSvX1MhkwsWE27IIzd4k3lLVHgVuwSEeKTe4yo/QUn3vRQNR5kBrfts20jKnEBcIyO
cYxTd0/LYrx3bZmt+hZQbmq2KUBQiv2FnDVZG6LNdLekGzWi9UySg1iMeWzKTRwlBKIFs9vZ91gB
Zrkx0OM+KRm6nz38iRmm6SDe3YSMcR85y9M4OLerXDCHB0ATWU8RgDs2gfZgPSVZx/O/FB4v3zkl
DGPVdNa5Zd7ZE5DSClpqURP4GnragmCSRjVHppJ1sRloTY+4fAAa//ojGCTeV9ozEMayr/k6wvX4
O54zFcFJ1KN4h+FIE+51Vfxyy7m6xbr54anTLiyTMk1ma8VYNXoJGSH2y7qLoxdKZOBpKtT4HCLl
Wk9IZfg1KoYH2yFoKKvAwjt7J+28TzECLNpiIKGwU2M7H6MaWDjZhVZztBMLCysTYn6hXxBlcrrc
/AgshOMJ8x4/wGDJMVkHSc7VrXQs3mGAQysGcgAr2JswYq9CziV3FUJssc+xLod400LMSPad0NkM
ozzvvud5w4wCsvdMZXJ7WZA/tPGUOJ1cAn/VLTkohsn/wOHDy5Pkwp/DucuRSNscyks1jPyXWQbO
3vVRi41jytsyg4l99xFRLl0DteuCFBrzEmbaP/36jn6Ak3ujGW/sh9Li3pTa5vrmQxK/DKroQpJ9
vCSARmFr0jUVpngTSH64dJMR5pqpxLskFEazHx/VLslyz70m4FfWhSMJQ8icjFSV2O8dZyltVCBk
qJT8WlMVhpyQpf/q3tDqL79+SlrfPiGaA1f/0rE8flhP+NxlBkER50iVgCkIXILr3/oD73OBQWR+
7IaiQc1R3t5S27xdH9wEZnvupujGxW6b46Qa/j2aMhjmYZSQWcxSNtsWjcENEVVgLYIBszL8Odpi
GG7WtMmkKH/Os8cdmfvG7Z6ybNzmiWeEMBx7PTRHAFtjv0xFMS4BlnU4ZyIbps3sDw/mAAhJs/9/
d7jTsI83vUVMVlpXQLPcSJwgIGAE88Jp4dmg5RYtTgs2TDUe/Em1wQ3OHB/zaIpeeDP9lGRetCt5
OnWwIVQr3ju3b+MNoZMjjPDI2ebkWW1A78GV1ol37bOu/cqRzJDcwzDwpYzK8TH0jWoZ2Iob21YD
C7SEC3DyTSqhZV0VAEbmxqtbQrjwSKy8qAZWziWDZcIUP9gNVhR8SXEbPBHlHjrkX5H7RKVOpFiS
5OSK1bfrO9Hzv6gg4AnS03/wDSvsxpbnEuFIZvva6FBG2DK2ogWZWGLvjLfYg5JIL0AIU3KtLVE/
sH5kEKCh3sBwKVL7OWrmYGMQrPXDDSrnEKsu2+U6tL6XXjC/hEk/BhuSKPKTVH72w4FSTVPgTXuB
VGw95WW8bDLjWeWGYh/stqtaFl0DWIqqDiY6dBKYeQDA6oH/BvvFDKtpXSfm/CObGIKRgVWS2eUN
TIF0Hkxw6ubYeYee3xLOEcMeYBhr7XusfncVHoeVNwxgtMlCsH2mjjNTz1sp6qvqB7J2uF5zqGgZ
x0lOh7obw3M5GA9WhaR+jeYe2EgR6tY6lQVP8+vsOulem9G20/4IMwALZisLeDU9zo/C6ONLrRVP
E2AqdQYZ5MGqgagkAxTzLmrnZKv7zDmJgm7qOQZe8DKkpXosB/eSeiS9TjahoUPSWg8xq7vHOuiA
moEgD+8ly4VdFpRibRIa9sZsZQS3Ej7Nie2/9u1kbxsoQzduW03gFO8bEyeNeIcP/rBj/U+AtLAv
LS6chU++tLcuzdQ8kYFE9EUsO/Papk2zHu3ApI1TFsM9pD+LVLMDRofLEGmVxunwEYuxKgEP9V6+
IcasB0why7KnuXbLNRzvhsLa7J7sugjfMwi35Jtnjnnf526/qExD7LXvcFcPTv4xcrwfyd7oz51t
fgwqlHcE9k6AM4ZRkOpVgz5sga2tNOrpx4kO/DgR5XwtLL/7qd1RfUxR0sjPsSN27ZoRRJocOzUX
+6TEASmkerNBD1zTFCxg4RcxUwtrPOmOPFoCruiDfcIFAFbcKwUfobURVC2moPpRdsN4knOWQ1uc
7Guedfo9zPx4laDfuEQiAl7TD1DiSa2t5IJxvDgHRlzcmbG06xUsCePqFo23Ctx+WHO5goV2/fEg
gFt9ZH3nLr1GPMe9MA+FqV5AAul1mnOftrn5btnJPh/y9mQg4HgbhsSp+MxNCh1JayElS9MjA5Xk
3gmb/q4H2EtT3C2KAGpkalo9T81GjO5pSDvmivgRlnbKHgljhd13HH7G2Xe5VUya2GrAngrz8DXO
3eC2TqwWym7cZT10xQr8cEmgl+Y+sOHppAysOCmiGIGUK/1F7XOEb9CZA420beFcw8T1L2GkusdG
uSCjVK0Z5wHzWxYzwK2gg9+vCm8h+uTZN6V1rAlYWVnOKOgOJ28DWbN6zHISFBY55ccGCkq2Gu0b
KESYo7HoO5/xy9Sm6aUalbMpHHN6MpXSx6l1zFeEgDygCFu54wmkd9lIYAKirOjqdKZmh9bTIXbs
Ro5ONROn7FUl0sS6HdZ9UzMPSofGOvRu3l/ZkxLgFhOm3eUEOhTJ9Gy2ZYwovepf0j59ywk+WKLM
I24mQV77rEUEWbQdEWLJ1jlgyGVraSaMM6I03Pg9iM9Fp/LBXwDYYSQWBr2vNoC3PD4JVVcsxejJ
jZv1nI5lSvSuDCq2GAPhBSLiF9dkfjzGeROwvZVxvuY4HHZh3kKcLiOCcuIYzJyC4BUjpFioPHVX
jBzbI7Ie1wG7M/XHUbkNOE57dMguj8a7oCLrgUhmT3/Pcaf8DMsUuGzhe/MujbrySwSB3EWK/M/y
VloJhJmLUk9ywcqSyWpZ5f46M6RY57XOlmEfMokDc7KKkd0sJw2aFQqWfSzgvZ3nNhTOM+dbcdfV
UOtIv4zG6sLiwFm2hdc89NWY+A/EncHJ94xILXSXUxZAJ/1WWLaZbCKyGPgAmdSChW8V9wmHLMjF
8VQXbbue+iIal3kbxteWMuDOBkLLk5ctPtwMDZJtdnJqLDd6T3qreZjjgYiVKkkZufTTCQGsd5Y1
MBgYNdIgodHrD05TdsfRktM2ZMh3sbyufUqH6iAHeRThPK5wwcr7ijSlL2Yd5lZ3UrGa8uKtSsIX
CrVhE7RqpQPlXnN4BOXC00VRbPKxSsoDMVSDtQG7SGTBQCJqvmzKusmhS/nzQ++Y4tuIDIaJV2SX
eiFqBgcOwNGwduL5VPTKqL4mPbYXOITzvZHOKlsnJDb238JOPIkeO0WwUFnvxvYWUY1j7OPR38rU
CR4aq3wVwCTTY13KAJ5XbX7CSBV3I/y4RRZyLxBwDhiIxNepWIeM14OHiIB68xUU+EOkmBQVdXxp
BBlJSPWJ1gNsK4bXOXUbltUqTIJLYgt54fTbdxUn6L8zBN8a399v0vEBsdSkaQ9xZdOn/2mTXlAs
xX5rNjuPwE2ajiynTCQgkcr9dyODv69W/w88kgs6t679v/9xe6F/+kbYmzgRXNzgf9YMhopiXkL4
2ZVp6X3Sp1bVuqsltRpvAxgqcLNUzs1IPTrzwH3/q9/9psiBHI6T5kYJuamFfqf1FMZkocgj6kjl
wn6C/8giS2YTpUSpdg2JZf7C7wLqQQNZgfirepgIyjaWT8QRqH5Rm/7pImPHMGLI0A28OcGr6yHp
3bugkPZTnTOjh9vp88trd2qANgvKFRO4Oj0AW8dyl0DMfvrXV+PP2qjIdOBQoKu+GaXcf9JvJtHQ
T3ZCMxMo5e4Hh/ED818b12DQfo+UlW3/9ffz/iwOQSSKcQLkBQ5wCO5/FleXqZ4YLWIQqQnUOHUp
/VrLafxZGB3ERwhqX2mJkP+c6LB3QHb5Tgy4EpFKdQe7uOS442m+Rg3uqvtKaevMsnoWB0WUx4tO
O1iHwFQ5IFiuU6uT9vzdTEwnYorjdvOj7Rs4wCX8vl3W9/QWIvc+G08P3WOLwqHdzB3b+nYJ2dZx
P2aayGIZkzpfLZPYc2jwEhpQEpSspypwxPtQTu13nhP1z3DW9SMSTNq4TrZ8Pa4o8W5WhPucEhpi
43ZgmnTVlhED3mz7dnNzyrTbMGmgt/CF6t5tBEJplVr+uG4xcb3/GoBUvrT+JkT83/Hmv9GoIFP2
GSz+1+PN849v6rMt/jDe/Ptf+i2u0ftPh8/JjZqAVsVzb6/3j7hG95YYcnNSYnX8pUT5LbGdKBET
Og92giAKQKTwKfz7dBP+xZ9EKP9KlILM+o/P0pumkTYJy2HA4BRJ5Z+mmaXTs3K4QS2pvSKd3s2F
YoQK3c2V+VSfdECOD0qDTMfpj7Q3ABCRpjM8eTyE9+3cxY9lFcbzoubHv1NW7t/bqvVPY87RxETe
IOW55SO7sB1lbOo569/ctqrOKoQZtdJ21FNbhtnZHkNnWXgKwqbQxDsLxLtLSG7OGfK8R4YeAzmT
5L9LUZj1pRuG/iGqfTsn9DApXhR4LaJ0VQj7kxnqmymH+AXzpoGeImyihxL34gPInhe4wvMeRNaI
9iJILr705gfTKtXDmDjxxon48ee4G9fG4HTgvSgIGeoVS+CG4xr0XIANhx38U5/l42cQVJBq2gY6
mzsziZVStBdoTumrrKheGGPgk3QSjdwiDazHgNziB2/0gauZNPcLw6zHk0oG+xTK9pnVKPM3ywLn
tXC1w2TCEfNT3fXF0rTGbwUESiaEumh36ByykyRuqbgBNNuPDOYrOGHew+eSmu4cDjrdGF06s2RB
xLhIKbZWpQ6DZU7TdwscN7ILEGeiKMrkfijynMnIWKzm1INBjrZqZw7NcBpTIjnII87OqVWxBe2q
YXqcOtlvCqLMwaYU9n3I9G832bK+gzs3nNy2nnaol53P3HWaQx5Z3SMaZvjYVWEU69oW3Q1ub5NE
L9z+bmbSu5EWD7Y6Luur0ZnOYze53TunXvlzskGH2HTjKxjPNfWcZ5ydLNgQTta9ca3EtJRjHV1k
G1ZvjsoISQAiuiIszFwTAT5vB9Mz8EGp8bscWlavpD+dcvhdS/Kbb/tPbhzGWUYUfTlO3qulVBaD
aGMmbX6JVp88Z79Or3V7S93zI9mtJ1br9MiN3oRUiYzG3E9t6/BY32akIK/E2VWMEfoaLQbpwAy7
WtbKo2UQfqFxNZ7E7Lp4yES4M7Vf/iAKKr+QpIXookjm+4KkTbHIvdj4ChsnrEhi5kBZyMEnoI9E
ov5YZz7J7JheD1kB9MmpgOHlRum9ZVZlvqoxH5lDF+Y6ZQx+lwWCOMdGSH1VRjK/y1KgwyZ6fDwK
L0ueIrfw7kPpMvMVTD10UF8ys+0ebJ0Sru453bToNZJv7knqe6+R/bxIu9Fb+S0KyUU71MZAVerH
eyfPERdFltp7CArKRSgtfArxKOGH0PRXLzxGxIVNybyrE2muNQBiGhRByl5K2ue21wIvr8zCNSMt
KvekSu5V6torX/rOR4l0oljw2R5f2zgNksUY9tOj7xdOsmRgDsYgt9KdB/vo0HOC3rTqJNYvtQHi
fVOLybzPY/QsS4MqujobRZi8BFaNCiTwm1gsXSljniQZhNC5ar6X7JfCRe9X450zB0BHs8ID5pjD
m3lJdMvYMcdCGiPgAOrjZFaO3Tivpb0ZWUjDDQ/FeLVL03pVbVz3S9p6JeSm9PEHjHfAIcKRwty5
ZWnYG6VFUt1Yz5MfJusRqYP5GDMomvznJKhE9wAvste7RjJyrQ+zYMs/L7swr0axcpk6D48qHxMS
BJMiTutliipw8J4rnQ+ohEPhGcXG6Psu/z4FQljFFkCVUhxcHG7/Wwf8mzqAtsOk8P6v64A9muu6
yf4oVv3bX/pNrRr8J3tEjnRuGFT+JPT8ow6ILCSpSM1pMm4aaMZA/1hzuvYvtSqntuXTYJkuxoH/
v+aMKA9CKhQMIvA+7L9SGOAP/mNhAOHOpsFgwRmhmUX/erMo/K7NyfzMzUuLLNaRhzRrG4GiwMsn
/yhkYLSMri135fZ59CgKiS6ti4lWWnJGQ1JO2q6RO2VVcUw4Tekf5jlwmVfoBn54Z5rjtXfcyt0i
zJyMaxHl6pVynIWehpdHwDyLDloYu9Vg5ysqjjL2envRV7DSCc/o/RMHdYDAcVD4P6yZGQ5pxmzv
ABWotbZwuTCEbuJD28ZCswAyoDJjaP1ilEIMNEuNdTKbLEZSUXbtEks50z0rGVz7FNldumqjyr8b
aHEXle4f2tI2GBlYDqT1UpsM+30rexR5Pl3ZGHVnuKPVQ5UbY70OxsZIl3k4JqDYPTMJSWUVD6Un
9JaXl2sQD9MOGlB0sIXKjlYabsfMhvucNlmz8WrPp1pKCy4mhlFrNXoxs6cusF95BtoLSJvlo2WP
/pqp+EeiJ3HvNVO0qmfHufR2rva6mdxVatmX1J/blVf7wdqYMh9Zj1FenMAoz049ANalP/GIn4KZ
jG33y0fWtHWDxlmqoEbYUlXlKkNh86CVA/W7x/1/R7vhngGxOPxs/dyfyDuSdtOcY6Gqn7mGcKsL
SPmtBw4rUUH7gF31ywPQv7JYcS99I5UESPAPtFyvkWtY+NArpsCld2A7xKYli+rHXLXOgzNG49ER
AZGhrSmvoki/5baTfnqNDy4qGY+l6U0rjyyfhW/HnF8+mkLdjNVjqYpqWRdle7bB3S+JzFDLOCqu
qsy7szEW/TLjE/tcjKBq3dYez1PWVisGfPba8vhJYUonK1PHydMcBkbFMkiynM2Z1/OyeY64kufo
0UmleZjM/nvJ19/TfJfXQNdluprGOHoIMk9cQ9tlkUi+crwQyTyfXcPplrnQxrYA07+dMcM+mDZ3
dOD3HRBjl8k5FB6hHJeoJ7u9a0Znfoc07GVsgLr04OaptRIuaMSF42h3JYuCcxNDysaQ/dF3ovZg
pv6d1q0MFjMiAgIOUFGG+Qieui4Jbmu5B1ejOVWLPja6pT93L4ZRbtJ2fgizySTi4OjqaFy0sn6b
hj6/pI4iE7N8sSYVraLSfaBaI1siFF8tA8h9lTcvk5PWRLq0H1Wgyk2R2d20rDL76LlDuaxv79T0
nTgcsWgovhZzb766BIEt9RTFQH20cTcwZMH9LZJVbrrvPAzbe5sB7cZoFXNM4tn2k2zdF9c3COPJ
AVmDTiDRCh4fJs5DEAMXjzP7HcWcXPdBpbZlIO193iJhyk5dxW5GsgKc6uxcxy2LYIbkhnKrFdJu
9LGDyDbFkI9wvPP2AUZneYXnm+x1zmWe5sLZMwIar9WIlbjuEKoKIdR2BiV45yp9YFE97AndiJEJ
Wu1wHVxSmazJAN08eecBFljNB4yI8sEkW8Nwy2glLWXnlykenIrNjneuVPitkY239v05esqdSWxc
NjNEr2fxBbVadu+l7WftChwDVAGLObM+fVwq7BKU2X20KNy3ZpWKlRKlfUzKutqYgM5W5NOU4LTZ
+JRTCmecxy72GZ53Jcn0DZub6WPuUfshqKVSokY4ZdM4fYB9xUhQZaZ8lGp8rE208AnL8/uG1Jho
oSPY5pfEiy2QzUPabgVmC+J6SUlatHPe7IlGj4H+14SCNaKOHro8+Ckac1gyE7Y2A6G3ALxDi+Lb
8DuSqH3AFPHSzaiGkmXDxqpfEKeCJ3xO501od9VmSiV8Wvockr6Z7zMrsdwdJPnuAPUx7TlbDPlV
GHlD0izrARNz1GD798huG0KgmjHcFX0IbXl0lX8dObAfHRXzESmY2UV71WnvrbUydUjnamLsMjve
t467P1tavUzSJZOWgNQuXwQPsjRCRuiWqQ4Nw7mDnGJj00XU8Du2c/uJuc59Sk79I3E8UCOVNoJt
WoAWWAINT99F6LZrbbvVzsLn83kDDbLRDVWeL5Opc0+Jw6BsEbgiYGI59PFei5DPh6M1mU/jjGia
R/vPunBhQDiuPdx1FKOXabSluUJ7h3FjtkjdoX3oQc2649y/mrEjP6Uys3fO5KTGGdHfkWtR3cfa
i36a2MjmVYqA5sHQhX41UEScKzPYBxatSVU5/nePgDKUu6kj4e17ulwnkZvtvUbvK562S7poe1pN
paJViWKu4iLP0/Cl15NHIlpbfjdyLHNgv227xZ2SDVf0dv4L50i0FiRybfppsg1SdG7JMVZhpcke
7er4VRB65PIwQlARFbW+jDemObr61Lhkud8KJgmVeifxojhjwKKHI1LJDZY2gXT7qJfFd7eTBTjP
+pEt4mDjua7jfWExGbWKlA+raDp5P0tHQrYfSD5iJ5/FrL1Zht4JVi3v3jANP9DXyw+MaXqTOTZr
jziqyBga5WQcGHLoS+3xvFk46LC+XHNq7ydFwMbCMW7W2oCosV1gDOID4kaNeGuOMR9YrPJXeZbL
CTZ2lb+ikXQJvmic7iF3Y+LEjNGR55vRYc9nLsu3CE9ocid3JKQdj/baCZT5Hkdd7K7rzCzGFcFY
3rYv3ewhjkAPSRC2ZNr0dc7QAwcLj+ecmGNLV0ik7eCEll8ecPv6K18gkJ80dLDS5oZjac2cA4LD
WpoA5v0cFqyX1hHGmVZcrb7tMJx4pMkYtG7IgptuNQa52LcBjIBFVdbqvVB5F4Ao6Vsyo8e2eSOz
QNTrDpQ0qmwY/z98Cqi72BwYidj+NzdJo2fyZqrPJmkblM6lLuGiBzE+RsavxnKI4IbkHnl08J7M
4C6a3eBDe6rciVRMydJOPND42IWcb8Gg0mMXW85L1KUpepbKGdF2KY1yvLGbHcNT/lgQWxjucied
HsIilhphXGp96kjbtJGe+Ehcosm8qItqEvVs851sIIJ2Ya703Etme1vxBNb3COo4e+fKT4xD2OTx
WxZ19TPWS1IKnDodj33bT1udG0a6mhUrAIa8xT5PigvybXwrdXCGXUo0BbkAGn7ugN0TJksXXd0u
Ms89QWMrUgqCDEWJsO/9ktqQyKFgK30KiwVoFfdbhIPHR3ItkpfanYL/x96ZbcdtZNv2i+AR6IHH
k0C2ZLJvJL3EIGURbaDvv/5O0C4Pia4jXdfrqZeqGmWTYCKBiNh7rzXXvEnVaCH2RsAyB3qbiL1P
bNxV2xnLdjQWavMUr9Fi2V24MGDa9UL0l7TDt06PxILJNs0PouLdbw7tZAKr2wJ9nNM1jxHyxFfH
KuVuKFE8b/g2lzaoGCCfYwJs8I+sDE0pbcT0iBJTC42Mlf5eCZ9pb7P+R6XFOUuLOZ5LWcfPuZzy
h8QWMQNuW6M+kP1lU01+ygPueBdZs5bDgjOiGiMwCQzISAKv+4OXEGW5KYwo+9R6rg5ARtLk2sTQ
vuW2gisAA35ZLjKNkKGRKcUlnzC/NKDofJVL0u0UQZUHRStkF/lmcazzCHNatjxXM/nsgU7M0Utk
1u6NyZDxmy6S/8TR+X9RDKzj0/hZkfw/TbKUxQ+98j9+5M8SGRHvbwKEpbkKbumZr9Skf7XKdes3
hn/vrvA/i92/lMAuvXJ+Cquy+14Gf2fo1H+Dr8feitlnLbu9f1IhA5n6sUImddbm7wIMYAidP++j
I1rVbttOmTNeIgQkd9PZeGPHcrjxbIc8MdDlHgkSae12S7/PDKzg4rmDSaJvM/Ln2gdDMVBqNjre
DINZftpUYxpQS9SVd584+HycLujTIkElW42TVewsk0CRoCCz5pDitafULIAVqOHY9LlqWeSWDsxW
dQankhbhMCRE1fl0RS9tmU6nUlODOOLtm8+cWiXnzbo64X7+pLXlQJjgQGKZmDjs04i8TFWb7FU6
9Tr5ZZnxEAPyBlse96OGBnBkrIgoy8dkVtcjNqhllS3hyrhbssF+EZVB+BCT3eGciHiNPoy7Ecc8
3dwFa1sksFtOQ76foMx5rHQlRjUV1e6V73cDTWi8Dvta0wgZcogi3OP/IPpFy5lnxwpSayWbcZcu
jbtsXDJkMIGSSkSTeZDDtYEI+nM3zvrd6CBM3pegycO4bWm40zI2pqCNQKEyJ23C1K6HT11jzU9y
gbwY4OWqpuNUemQFysbmg1pS9MYnkOf15WjjRm0Np9laejZsnaiq0d7oDef4Uq+QErnjlnwFJq8M
R+yjI1v3iZbDdGkww2/3SWrVHdUWwZCbgUc9RCQ5i9vaybZ4yQu1NztUd7QJpwXN3LqVYszVAntQ
g7uB7daUIeNH9DnOoA51KeNwiobe2xnjOG7Hjjakiowh2s1GJ7jRUVXZbAX5+ObKRLwsaKN3DFeS
ZZfJhDqWfeNFkQLPaKJRnCHKqbrXC7ZR1v38E340ZyPFgK2q0qIOz0wcidBo3Gul5ibsjRjNOlrx
OqjinI43Awp92JLWVO/mAaJd7DaEi9p1ta8lcWN9bUWn2IfLRJyXyu6dnF75xo77/HeRaiRdydRA
j+CSsMWG82V1KmEPTQlPBWnOqXhGN57to44Jt8S9exwb5e5QX6w5PNR19541fKXzqYXD7C2h9BqK
XN6A5Fi6FSl6MzogthWHbCTl5NYJaY/32SMKYz+0MXA1u10QtNuDEaGlUpoZtrJ+IJisuao9sbwS
HipDqoH5qU8qdZCL5BXUNMGmVTEs2A6VxumPCLyr2k5TulsEhiYbY6AXZhNrHOqxLB+dqO42o+YX
x8JPoueuzhU9/U7mdxmG8KBdsgqdCvmYJUbMxiWSY2Nbmbi147oP5m4y/V1ZcOxnZaGbclEht+dI
3lXXjZL+rnVE/q3Qs/lY+20ZTHGN8HKa/Q0Kva+pSKzQZD4W2Bw4D2nukxppGS/TOD/beWPTMIn8
KeQc5DZZCBmL73HcVDWpVc7N2JI9xGUz2+nnP5Hj/+0d/6J3bAInYHz7v/eOHzER/2CP+eMHvt8U
bbGWiM4K6FoHtt9titiwIRRCJl3DSWjZ/muAbPzGHrUSVL7bDdeNkrEy4193bTIb9j/ZDt9tL9+J
cmhJQyYVpsUyZ8GQ+bgb0shI4nL25rNfLNqSBd5YzfNOOaP/pJRlHplhYg0YInwurW21v+vznND+
ZHI610VzaGpU4oDHppu0R5+hEn26i/Hj3qhKb4W5KfMJ1zNz6VEwmDoowJxyvNPceSrqoPcH5nGP
sZx8VR16xWDYicZhdZbkUrv2lUWgU8kWC6Lf0PXSe6PDOCf9YURKMg3HyO31RB6lO2npiQF8PWB9
5ybfa0XpMo22YsPaRin95gvupWVeU0NMgeCyMfuKcDYE6kZ0Syz0sXfMXVHzjnlyJZWK97VrLKt1
w5FEUBnEEnelyWlUL0P0+9rrGKvkwUuthuVUxektOZ5X3dTUx4Ux3S4uZf/icybdNC3zPnaXJgkc
kZoBUangegJ/WlyjOJFGn9hMx6AoTga9LUiNF4a7KNB7KTnDV3GUDdpxYrI7h1mmRfM9KqZ+EaGI
MqDGeOpsw90bCW2B/SAFNfJBF6RPMa5SQPyy6c7JORifK4q7gm8B4fZ68PjvNOmdn/KLFUHHksnR
9n9fES7LPmmTl49H5fef+tc4yeM8DLsJUa9nuQB/0Xn8uSwAP2Ep8FCWeCv7khf9r2XBRFeCJEQw
fkIM6QPT+mucZPALfSZMzKhofSBw0v/J6mB+0AYCvGVVAJBou4hNiH74IDMhk3Lsy2QdEhfShSGV
avqdiOvl7A1JtSvr1Ouwr7jitdVc+eDGPjHVqpAnrUmY4zQG3ojcJV9ZOMU+eyco4ctWG8/LtAeP
03Toxsy18dJ3fqDHhFrrhdZ/S1F1IWWI8ifLYIT/nuscxUqeS2HFU1gY7hCuqW+BHolm3HdKW9aB
q3PfF/30C3jbB6EcdwB1HHpMbsM69/soG0xnTswls+7j1OjTDSdE8Gxzz3rUdevn4u/+7hH5NyLJ
Dzq59+v564LMikxVvM4rv5/fGcRuTlGWVcdRa0j0jXICDccBhwXZ1j+/0joJ/G7lX6/kmsgRvZWV
oxsfV/6ld3SyeJz8OErCgwwmYxt/trW9Z8rkfjByaz/Hqbz7+UX/zcdbfaAABXmYPCHWf/7deBLU
fTuqArRH76yQCW0dCLXCcO2wn9Y4ln9+NdylSD510OwMWX+8WuR7Y1KoND/qHDWzc9GoZTc5jT5e
97n/8PNr6R8mr+v9xOC6MgWBbSGq/HAxUovyWGUiOdbxlJuBGcs2DyFigeiD/IaiJ56u+6bXL8c2
Gw5MPUEjJK3zqzyTv9/h1d2Kjpd0BP7zYwIHs193Vr2ZHmtSaKg42pko0YjK0Xdo6//iBv/9GbI5
oLBrgDakr2p8YM81tZ+bXeOkNEqX5bb0GhwBGm8w7b4sPs7vUdBu4WfeL6777z6k66y8cceBFic+
rEsZm3oSOeQHFGNNGPTAt4lZDjhikfTpP7vWu+DP8tmtWVTXI9qHa1mJNupDDDkl0euIxNEZIU0l
mvkiAg/z+POHaP1d372T79eydYNb6a0y2VUw+MProTpHazSeoWVe4ESU0lWnPDGHX2HxPvRA/rgO
wG/YWu+Pq/HjdUj6ahunnJKjFPYAlmNM+VDWXBgbOZj2fZwkigiyBlYSE9EqlVuBvP/888/64dlZ
/wa6MCx0aCIABX58doZZz5La7vgbhjXYUx9qErsWLTpLc+bYF3l4dxxz/sV6/n4LP9zilRqGkBel
BkOfD1/nEDkM1qSbHGOGh89N6qgTR+P5qkqLeN+YFYaPTqMyfAdmu4FEKD0cR6eYfmfGUjdfq8FX
p0wW8hAJTZ0kY4iTJLzr9ud359/9nbZgb/excgM5+4h1RMwlx8XVtIMwXed1nnurCQasJnxFuUN4
S6GllbuZU81FLlCOGKUGsu7xNUh57LPSuqArLsn38swrX3Nad+cMcZnSxPbdYf/zv/XvT62HtN4U
dOc4kfyNQCn8Aps0GcxHpM5zFmT07rOgaNtu+/PrfHjreWL+ENFjdFlBsR/3xkQzuClwe44lDrtb
P1nwwRZ4wi7y1rLvf36tj8v5+8XQ5RjsjitK7iMgdvZau7UIizjWeKzCyJNDKHICdUGxZTu0FwjZ
qMYvdGyZnzVcrXtKgO4XN5Ysr/VN/PFx9ajPCPiyORTw53zYVfKm0gzeDHlwe6yhRzc3WEw7fzKr
YwT17VYzHfFqxzIJkqRnuIXSEKBsQsWBjEUJ+wJqmzz5fT/fdIMPAKQlqRfdZN4xMDUytZzzuJWn
OKmNuyU35dsw9fkTDPrlvOQN8dd+3Tj3LtL5ExRR+2JoBAtuq0bjzoYCcI9tQRw6nT5NTH+qD0WV
rIFMI4DNSJr9Ji/iAcE+gO1czuJ10TjGtUR60VKEt/CmPM2mnwmaHDHyUEniAXWr3aUutrANs7P1
jFAyQAUZZ1gv9KP0rzhQzEc4WRXMNzkoLWiZNr/lQ2eNoaLrEm9bL43PkcmbbdksLXozJK896Muw
bCMoawRiGbiBOTYGQJ+8CHa9H/U7tBjWfrQEh6HCndrfMZUZ24JG8GevxkeJ1SfleePtj7JdVvpc
HmWBhmykZe1k1uR+XixphxPs17O7/mxrE/4aoYZmRJeM7bhxk1x7AI45n9ln8qe6nsfr99srnbHb
GkUsbisM5dkJJ3AOlEiPHPNkoBU40+1RxEEucVpt3ffVCtHCBVShNVdOn7QvRZnxRJZi0kWQE0pD
xl7FvZtpH7VgLkT8YE2J9dzTyiQTJEKNvU4XC6iw/J4xTuIzM8wI162bvDYCVDnN1GaO9v7ik65I
j9++TyPTfPQw4pI8BRT6pEwjec0poXd6U1ovNGaxSvPS5MxdE7Xc0ouduqDLmumGuna6TmZriOm5
6smXnIyw47Toq1BFIHgw1+dQrdovr8frBRqBlKJwmXQOMLjjll0xoHjfuKpbzigvgfdKSq95Q696
uVW2JkSwagFCHIkMX1M+QLtR6bgwLOYB28KOqF5iUnnx+Xg8vfAZp5sGfCOxmzEVg2PDxXDijBsm
Ims+R1pOTLQHmnaB34XTDwyiRp8UaYSOEGwpt3Ur7WDWyuY2ArpzFF5TXOBRswKYNGifUUGfdbNY
Tn0tHJKAbfkQde62tPrspXaK7DxztYAZHM3Zxd1nyVIFdSEnJmyp+Rm9Kb08Qj9FiW9Xy3ozBMO2
BAY1X6A7RbPzJ8RXjHHzLOCuGk9+MlwnWD5P9F93xLCbO5C+5YnOT7WJtZ4kTTUiSlZ8rDzzmiDO
spxRctczRrfkprOtz6i/zHOkkusGX/RmGEyQh7NnBWw4EE/q5NGR4OnmtjIugPbSRMnsoOoQAme+
EvhRdSZ7i3BCv0JGnPjxXRvPr0xDX6pea7eppsxwdqxiYyyDcdSE96l2ENvSVq+wSk+g91EUGV+U
aZ0WpkDICJGwO0SGZ5bzMAzyoizc6FNXMR2N4aSc4lyxAFvrGUkZ85WTmOa5W9r6lt5He9IGG2n8
4lxmbj171cZS6JB8hhu1EbXfapFVh1kvUa4UgFqQDUVmetJLq9Q3EvrlZQ/p06B1hRN3M8zG8mhj
UN9NY056Uof74QKzUH3NQcmKw5GYCqyZIn9smHA/Mv4f72cmAvCh2gqkE76I+UwcgrnOn92dlXWk
C6qkOU4MXo4xYTVclFP0uYnEHfb78c4d5xnAY99v1/3H3kyMpIDQV7XCA+gugcublh8tDTMj2BK0
OM3MWSTzJvbCwmnpM7kJSxE+f6bj7Ahu5LuHKqX06Xn+CIKbix2cFWvfjzD7g6Yy1HUruie4X3Wo
j8lwZRGBiMQlR40WYhmw0p2dGupCI+Zqh4PBvhGoBXZANaLnLo3GCxM+ZpfI8ZSOveg2hjf6X4Bp
trTpC3Qa6EMbjR56E5/MmnP7xhgRXCyD4sFMOTukoZtrYNUad8uk4hPgBRsXPP7w3iq8t47AjBmg
uW4werPd52lc/GUv7ATeGrSwVVnKeayY6kO1LP7VpNUO2sEWCmdZVoHW1e6BCto/+JOOnbvS++Zb
xbRxy9huPtWdiXPXEmef6VQeWL5+aUGF4AhTuPvezf3bXNYy3khTmhT/GIFpUzT6g5ZodB+63D/x
pfr3k40sh004B+WmDdbXaRHtrdthzJ/qog29sjZChhcgQtIChJ2MbPAsCPkcrxtQEyTWYza35Q15
fOZGST09yrQ2ztzBJDTRHNSD1PeDbfNg+8XZoX0QSOUbNxDg7INdu+alH0X4lKvFvpd2rYfKG8t9
LpZqly+t99Kv+ggWmjoY2hGPMJlUq/FX2t4+hrmab0jEBnNGVMFTISbzqhdeeS0WybHfN0tnU7XE
pm7njMBBgLOMAEEBuJ/tzKGJU9bRxaTZXhlKaeVHOITzt45y/BLhTH/bWdrkwcgBYx9oGY5xLLhj
Q3TvYF9RsVf7TCFLlINennJ9Bkg+MAgdU5XfVI7dXXugfw5m3cZ+kPjeQU1Lcxy9AgO3Lr2LEpnZ
Oe0Lb29Fg3rNitp1tth/6mcrwv7tOGn25tuKmU7lVuUR/Sa9pDRvnty2+qL41eDsSisPfHsx8qCV
y8AM1GIaxBmT4GR8v7TDddEFdVzYoZUu/QW5E+Bhy3TLN55sM2V8ZT5UhUlfMTrFHNZC1Ijms+v3
5SuGBTI9J7LgsPBjNIpNKIf2LEPYPt2NLob2NW0y1uw/SGbSbzK4ZsMflDMGgivzbDXTWhthFVP8
FmtzHXQJvixe7K6gTOq0t5p5KV7jyrhKRrt/RLg5vFpN4uHMhllJIpavIdERi7cO72aoCSqgI0Js
h2PNJxhMiKqVMzzPHZYhkak61DzIm5u0hkqSjJkecIqKrrA3uMS01HQ1wJqgJssnbPBWNx2sIhVn
a0zyMM9G9ozSmGcVgJ8gz4nFKSb0L62ngy7H7qQ3qurDzjJKlrN5ie49MzXmACVvf7QxsAtEHZyS
Mpn7rD7toj3gIhE7Pyv53tgU9hi5yYjDjfa1ojaiwohz0HuKu9B4yRdprI8yHSVxjt3KAIVoNNPB
EaZ8mpnIvGhGpb0ZTj9eSm+OHuwCjiQzBX0/WZP/qBcJdrfeboBxWAnHSeEHdZs8cjAmEUc6ghyz
+s4xnyCDImFaWF4JEeChUk/wDMVGeNqdOzCETt1igY3n7axFc0A2IK9lKKg204pLcN04BvAIOMWj
xt4UJiZvf0pes9zADELKjYNwuyvZKqMDvBZj1zvjNxSO/p5a3sLtZPi7jHFRkCnnZLR47HTCjenr
9zsv8iOmhYYWupLHWaSTfjHbClSn/oINxUGt3nt7MuAYA6g531tdMt3XjhEHBrizM9iBN61iYoMj
ptg4w2CcwBWKLYjICUIhmVS+oD1gTMPM+9z0+yruBNxIzE7U+Ow6HIROVl9a29ZP6p0inO1SdFN6
mWHby5yI0zwHroAUKicEBXI9OkJH/jk5B7up40CowaM0Ac7aezEbRClvJgZIeBHTaud17beu0cpt
tQbN6E5SblTtf2lmTe0awg0vuorewRKhkxhbTAraS+JYO+bt2PkAVReqPSmt/jyq5brP5Kkrnceq
kWeWXBpGWPgunGZ5S+voieH6HXOZfcVpGvF4/uKLZEQ8TJPS7fxX3YZauzRRH/qabj+W+TqVL43X
ydc5WGkRi3xsHHOn6UKyt3dpX11MsTsSuu58VYOPCBJIRLSxNSqCaOz758Vcvk6Avp20N3a1mydj
MPtz9CzIdSbzrfGyk9VUA4BbPE0lECF92Q518mkCVnDou/jSrh+FN/QPtVf727hN7l0zig8uOryg
qYf+k2Y03nYah+4wUMNc9qAODljO1td8Ficba94np7WKfaJqxwvbeGyOSe3QHoXoQDnh+vG0L0ed
I3TSZBZyVWcBSGZrzS5W052NXeB34eAGOWkVMAt9k/mtJ/bGYIzmReepNc+0jofpJjea9fcZdZa+
wBtxRhoXuuwwanc80e6YVc2GrqaVdhuBfWUHsDaG/MN56OCavatddX2HvK4FtI4O2adp6rQjJWfm
J0HTG/Kzh53qrZUOLyBXZcRAKACFiOFRSBGKXVIWRTz2fViyvNBnWmcac9nLz31EgSC1mhqjNOyL
NFmmq5o97smr5XwGlkeVnLga4PXaEVepZifDlnxeyo7eZVkaIfrABVqrEz2Zhm/pYozXqTOjZgOp
ttMjKKhxNsrPEQ43G86Lq9/prd0R/thQiUTLIF7LknnmuYuHteT1u3IOYrtq8dYMHB1yzRH7Sjeb
I2d7frXmFGCRSwp0wDPRssMRS301Ot0XJ1dGmDQc/zZWXN3YzRJkINWPKIzTgPFlczQyBqnQu+XJ
jG2aAi1Fvte79AjWSc379YbK0rZz6TRHCVJoT50w7IVrqU/v/4rvKeNOOJT9pUtyCKDF5YCcsHpp
Ff6gYGoMugSeCQxr4dijUWwy61kK597PuJnoFG3gKV29e28UI75ijIJyJ+wz+sY51AWxSZKYRBKf
P1HFY3bC8VDsHWW3z2XS8QEAAGKxjKfltqXxcgMwQ/+kesG3XkD9Ocpxao6NXUw32cR5d9FicViy
nuhkhtrkNQk+l4W96aGyKfvqAXYsduW03nNUo7bv+9yFMZLJEXTHQleE5iWLQY8fVwoMFaU12DXk
VKEUz79YtEuYyhX5slqyF1lKR9EDq9c0rbHRc7+jJQMLEglktJS7DvW6dZnDhLqy9dG+KNOFCdli
07ySJDO/P3caruDdkPINmAsmDqw+y23ctQ5l0qStf19cyTeNwTBNEcqs27xf70neM2XDvHnLdzVd
le7AbaNJGVh6tZxB/hT7cm3FtRCxzy42huv3DJwSDD48Y56Azlp5cv6w/sI8de4jg2gTPx68sMpL
+vkuRPSpcMUnJVYpEgCGo1us/7TsuFtAC3hgddOdzwO/aDsvjW+H9agRmQIRLQ2zLvP3BNRC09E4
XusufVZ0nBT8umbIt0W3aCqlPE3mwi/F+1K+0Eos0HoWxvDYYUK49PVRngYkOS8yFggP8L1XGy3m
FbbMntnk2EnA93r5krltd/TrSTPRHw3vvMZc6ncUB3zCwnBof8koyjgBy7HYYyA1LqlbmufOX2+v
Enl2gl20nIe2NO5Gcuo4afGHG20W/64WVb0g/+bSU98Op7yb5bGj5Yo5xwN5DCAIGSwdua7m5/wm
yS5YfF97ux2CWE8oPbrqawEhJPAZ5u3boZEn0fHtdJ3kZZ94A2U/+3QsCjhozdBtoxLRn0kL/Fyh
kvvcjDjrAb4v+kUeGfp1YTryZJMzA2KYyscOC5bDvYBR0G4YiyLRW5+CsaI1Z+MqJoYSYTzYtY6a
cPR7nhJ3Ea+RSKsXRpEaDpO44p0uG1uGJdUpkmPWR9/iTkUopx8WCgKUaRUfGPM/z2AjZp48u5Kn
BDOd5BwwLwfNBbjuei5ln+fEwzfPoU4Gf6VPn9oymb5MK/B803Igb2ilEgEYc6xgZ0Rufqm3Q3EV
j13/kEAX/L0aLPmWlJN/GmxcJBsseOO1lRAPONvujA284AkY/Fp+Th17jbtr8ImEbkmDO8yrpJz/
aD//V/r0C6GDgSzhp0KHm29FQWzx8PKBEPznD/6pdXCt3whs8XTCqP6IZcEf+6fWwRO/2Wt2MGAc
jgy2+Z3WAess/5fDqBj+JQ0rm1HWv6yz/m8us0cHfRSRsg6E33+idWDk9KHV7rmogYFMChxQ5Pt+
nAzlymx5x8V8sDFUziFoqwSJYT6aV4acMKr6RgrlTtG8Ubuxc2qf7lnDGrSeLnYLycppAMNGW+uG
LrfDmAEYEO6M42LjMzbqJIdeZ75Qsy5C2GSTvlnoqHN612BupTom0MXJeRc0s+XE5RLbTS8llrqx
hUC27DXdKJ/Iam1O7FjxFRNvsXW1ZXmUhmbik8vdeNv4AmZ+XKr6PqLxSrBl7ZPYoU/CZZsySQrI
9JJAyBIh2LgRlU8/qJ+QSsYFGMQl+abpevR1ZLBynviZT/ZMl4zTrm9dkgOAkkl3W6SqOJBBBhBI
bmxLbbRvfC/KLwZAHNdJGXfnAQXiXpcpvFtBU2BDJvlEpB9M9hSA7LBKLKNgQsWPsY+jXK7Al238
StJty216zA23WddcHLWoVsWpAOy6LVzHOhiw57eGz523Eks/0QlSNx0TkF3nLOqWgIgSGZpHrq30
LAO8WVacSGKt8PbSCs7GGAUqB/MuwP10xhgSie3sOnA4mqyiGMT7+6y7bndJFfOptaPuXiexztt7
DQ06AiPSCMpZ72X7NTjmacozgyO+6ZFwEuFHHFgez1aZJeFsiixQ6z5i24T6gCzwCPt2pH0ytVG8
tRzhtpbSKRdvlJ+TCzNaNS0McWP1fVIG7D0mwTlt/1mfq+ixwRhzTeKPHeBv3mqt1wU2ZI6NGyM9
JUgsP/l5Iy995pe3UDasc2YZz8loOWFWioxKsp93RR3J+5kIga2j2eowwroQ2DuDDI7InaRJfU2T
1g3lZI3HyCn3WWp6W2UhP4W7SGdnKdV6QijlIfWlTVGq6KyM41dd+tqutIh0hjKR63c85OhxoSrA
mNHJwMh9QKoc4sPMNKzQKezbkqctwFh/QTRXjJeudkItbj8tKrE3C7ikXWw4iNfJ0TuMbWwHUY9B
S0fmd0LPrH2yXDc6Vnlc39kw6VDE2/7J9doaokZMOoE+DQHJ3PGVOWD3LXhsRxDCs7Gv5himWREn
q2dVwgd0envLOHO6w1+1plYkQOX3jqUAhD965B4lu5ZTB+1zW18spw/TMY5iD3k6G2NF59/3+nvD
yOzx3kbIaxNGUWex/qRbPAtbYacJNaVwbzsPvufzZC2M03sQjOau8MkN2OQEJHD9Ibnyvdl49s1V
mpGnTKqCRprxqlcvNfvThPElPY4lqR24QBdaU1OKm77YNyVwxvshSazxvsuSnu5OFOFhvALhOKSf
swxkZxEuA306lCd2awSUyf4SDq0xsbL1SRR9Vpga8wCP8tpl10rF4zmWM27MedEp1yln+PjeOLuA
aFAjettamV0WHebOsz5zTBq7r27m4wH6zD3y+wGkaleekq4wQZgUMuvwNCKfxEglSlvDti/6DjFl
1juU5TV+MjRUjSF5scD0vA9v/7tT/2qn5kn76U59fmnbl69xT7+ka79XKxt//OSfW7Xj/8ZOjb6G
Cm7dEH0m/n9u1a65oixM20byAzWQvfovWSJb9Sp+AkHh2uI9BOCvrdrSf4OZQVKwi1PG19G2/ZOt
+qMOwOMKqxuIqG4uhkjiR/WKb86OllVahcUsf4vLiIrRKyVcG3y2P1cB/LsrGfiSmMDjLUCG+eOV
8sIqLMaQXMlYRgqE6ktVlNNmlNiY//mVuAa9e4u8Yctb/5LvhHFRp0mUNgymQH33VALiuh0Ueuh6
efrHF1qFL1ituJzgWj9eaCA7xC+bhQlYm71lefYGWeot5b//k8vYKO9cvvG/fUcdmUis31N1wE3N
0cmr680qNgyyKfkPbh3Pqo9kyl8F8e9Kmu9vXQVFr4z5RAPjrkuQPDiBSsO7bIr0Fx9qlV99L8bg
wUNxyxmB7wlw4scTojswTe78sTrEIy0CdtY7fCpPujY/VQPF68/v4Krs+NvFSMVY4y8AeH1UntJh
LHk3y+rgQ8sK3VY1h5Sm1Ib94wXVAo18C4WoPsvunz+KmJNMG8Gra6Gv+/DQO03ZG3Dcq0NVJ+V9
j9KW0YaWPWkp/+vnn/Gjcuj9hnIEY1UAoMdb/ePDSNpSPycl4n+tr5sDA8F5mxpC3v/8Kv/mLfZw
If11FZas798tksisQetBdwP1sqnKp6dBjcWpaP6zW/fdlT7cuhHFJbRlrgRVYA6dKX1ZUA4E/x+v
17tS9sfHw/dYZHkyXN8yjI86z1Iq21OkZhyqwSjDSgwaco+qm24WTjFbHzdAqPuNvqt92z6IZipD
jh/40WurOA21zXxmLF2O5VPUBw27+Vc3TiC6wN06rvrdXe9mbwgAzCPBE8O5cpnmMmAkV8DwyxpE
Gf8Khyq1FRl2/Z4d4+BOtboFPGI8Q84uj9gX5RescHM4qsk+SHfJNuVMcwMQt8fIfHIiTIM9yBam
t144kOl3BJtSbPssx4SOOuW+01LrBOB5/FpLVnm9c/jbHZ2rpFZ5wRQZ32HsenG5na1cvKZZTLpE
y9+jkRj7oqjawoyJ4q4E0AnjeCnDzrbA9QymXGsZRMDTpjY7piuSbOhayGkLsNejc1lpgRJ8ukWx
cKEeIGqkI51SEiSxiYnK4TzPFoBOSN/Bci+Z28FaPVkKqFzaLCR/CKY4HgwwAF7ojKB8Gc9RPNgX
U6SnXyLwSk/OmGGYbMGJ1o4yiGbkF23cUa8+V8oi58FBm5BvGGX5XWCagEv+TMPQrCZ/ake0WLSd
1C2dq+6L5NZcxGldXTt9+iZ0vtM+dYxn5SVvpFjJewqk8ogHh7++XdMicoKId00usITavp/HNzhM
p7sUjdCRFb0LEFYl+yHKTcxrDjDv3OgL2jyoADeQyJOriJkufe6oeHPo6l0hpuAm9rldcJwb4RW+
P/Y5UPXTIiQhGA63jCwwPmYf0422GM2ouooevMXgOByRJUrCHT0qhZ8olHacqjCH4b4E5dI4+T4p
wCqc9X6o/NCJ5fAplhXBL4Y+ENKB9gmHqiOK5lKjq/nsaYX9MAGOezNcVDB8RoIOOlZOJgz1waKP
/lRSZTyYjKHTwG7QEgSNBU9648fxUO76SfmXzVSZG7yWfAUdcarIMJD8lRvt/7F3ZstxG2m3fZXz
AnBgHs4lhqpicR5EirpBkJKIecpMjE9/Fmh3dMs+f/vv+75xdNhNqUgCOXx777WzSkNbc4NnORDv
7G2mwGi2bHHbGvhHZfWEXpkZ9PmzarVsOo5+W74FMzAqxlXTNQAsI8Mfg4gu6Qh6mEncf6W/pjo6
/ajosNQE3aNlbzkbjDy/GkIhkYpChA3jfQt6+cPceLcoo1uNuJ4d+WXCR/5KjN+59FZIxs3S8WHF
qIFN1+1ijRFnNUgd/CYc4kTfhozc0ZJmbQIG0oyQtj5MemuuUgiQZz4I2kvWrLFGz+wc542b32TA
wJMxq4NjCTspHC22PjQ2Yr2+YMiIJ++xnATOkrxf8p8tJP9TW7mIVi48qyvbGL/2cp2OVtMxeAxG
HoQNDf88o7LKFKzMAEMykgR1A5H9VKPwSP7CsRnMk+omfHtrcW6AhiYj5TmXbIXefT7yUhotHwsK
6HQ9KREkWcV7bpPOZJToVS8+w+9LPVgO2B7qKNuWXkUEoGUFB5WkJ8FdHmpWxeUur/s1biGi3Voc
Kg+DxltfjTXNaNgRYYWUa7IJVjcUTXhg+77b23zfZlO+FVLzb33Yzm/1Iv17a6IbqKOV4gk0iHVe
Rp6oigX12xikCLI17bdTy7dPdpXXiLtvcKvacf4uNYFUlUnWnNyu/HvDFUNo6/Ubjg8/FoL1w801
734rGLqa2PJi6jhgdDvW6N+nXSWujBlEE7YFHkNk/wHrR8OVFW9w1JhjF7szfzUMIeDH+/iAKN38
PXdaqlWJvWeB1HmCCbNT1HZr9YoyyNny+SU0/a0ktYzyaILRh1vNSj7kI4Nyg7Y4ADBhkQZ4Lt3R
IMjAqouP8FVVvvFTn1mtpv0ZcfTNuKlSVdyABckOE5ES1jhOEqGmKeemzJyDxFkRTZ0wI8eisWZQ
3T5McbsvxcJPaPPSFgODJ2j2kXM08humxlMX1PCwG1BBmAGrg2aPB3tswNWz9mgZq8cc8NJXE+mL
iTbNg4VpKsxA699Yqam/B8aoLgGxcB7tRmKBsj5xjZ+OZd4FxybItGslilsL5/1XrSyJCi+MtRho
vRS6Nb/41erH/toBEN0M6p9xIifw7pvbXhPpXV3RxyuauLDyjy5L6RBTxRfe52cx6aj60I+SPGuw
cgCLvbVXiWmBXrIjVUfvmgMByfTY9DCR2hdakeMShQN+Fi0rjt74BpNxA9GKAp4VONd+tnBt2R82
fgcH7l64J9yFkkHfbiF2gV86NaZji2ObM6w08p6kswR/BBKvZjErueQBO8EF0uxRqmpPU0A48nvA
gS1cD4FHcIB1UPdW0QDARLxCV50HkJmN+UU2ZnOeBwuvvqf0Pur8cThbtRyZnDarWcfpsJDQv1xn
EzGOzacWrH8NnM+HwZwZOiCZ5drRLiZaqOcSwCu1F006+Wd7YrwQpu5oeVbEWVyM8JUC4X3IFVhR
6FM59bN3XMi7ReZdLL7XU7i7BnQwWYOjY85cWNdX36MSPlJCqTuQerRn0JYSjBCQmNCoPheMW61x
5+xIQ37zK71SEbLH41xaC4g9w6Xoh8O1XYRkTqdzS8VujEL5bvsjbjrqFLSVFhHb0fKD6fJ+sXBM
945TarvzU8M4RyNEqNnmeuQ9NUnClhhWx9pXJ3MYVULvxBuh9irxgAYmpo4MSjYfNRPF64b+VLyI
Syb0mAA5rVYYBLcbXtfse0aebgwrQ2ph7SGglrWmXRSLo/sHL2tY32yX5RtSz4ivyWP+NdsBw+ie
bxisFp1dkb86fxcAsP5ywg50Wo33eJznEXD+8xWsXwpM1bgLTzmh4fM4yeaDNnB+grOaJeYXnIhL
UiMvlmFeGuoGki5Xlyrvb3uDYxUT9Tc2rvbsm0yrYRNboSyoaYhqhpaXtlkEVy0x4KvKheWqcEBQ
xzamzilLeQethWtKQmdS+kjM2X6j6pCmroB/HH3N8O7XFFZHmK5L/awXRfntcw1sWzgh0bxVZv43
V5pdq/j13kbukjkIcSEH9rdh/+m2Ibcto7lKr084H1h7zXm6VtmIKu8LzkyKY/bNalE5gxWWM1YV
COr/BNYDZTVZERrB311a/5yzgaaCqgjyxGNaw8X/Txd+j0Yq1gM+j2iM51HHNl6xv8weydV6fEiZ
9h3+/XXrL7dkHgadazLJnj288ueYhkQlb7K5pxp94EDapvTnfJYstG3eXWpUHPweQP6+/N/sZ3f3
+53nX3sljP/f00eJBUgX/IiW5f/pFtkidGATrmoWV4TnkBWzo6ScOEFc8mCR5qGvCQv4rev4893n
Fkx+BOR+TsffITdwxKcVjRTdNkzHRXLG+fc/j79ESfgN7DoVCTLXdQix/CnDkY0zbUCapHrXpYzN
gdwS4owid2DZXwfMJSeNYyONbrl5cFDPQXGq87//CH+5ZwcIZL7p8EEIehLX+/UGrFYSQ31hFKeA
+/bR0bLuEvP03y0Df5lY8LcwqDCp2LRND+bcr3/LWIwThTldcXJtDs+oNgQsenA4gxlwz3D3+rW1
5PKATj19/fffoPkX8S7giGLt8x90ROsvsUfCZDZcmjk/2ZJWv1Ntd8GVlqbBt2bkaIzTy1lvA80J
dvrWMxW5A243Z8bWMzmUiHVIA/t6K1Q44ECzkkz1HCftCsKBpBuj7Fr5g0I3LEtaKrm4fn76/86r
/2Zeva+OPET/c4T+scPF9n/iNyyeb/86rv7jC/8YVwfub0xMiRRTYk+b7L9Cmclr/qYzqaO/ESCy
ScL+n+Nq57fABgNIvopJCiGMf06rzd8YwCIsM4818CHyRf9JWYP1p2dT/3z9GW8ZTCkZtBv7Cv0v
A0r6P2jrTAftkhVzuqeGh7mCLZyLhp7pxOsh+umkIh6s2mXL6uwtMaCtXjCLzGP6C+entXKbS0uC
pTIGBR2z0CcYqmXZcvU1gE+BvE8qlT1kvXUiYDBRzSQws9vt8zxWd7Np02U2Zz4ObHY7w0WsTOE5
QoQCOSsxp9KPZdfmI108OZkm04s2YOc3rA/yiarxHLeGsuN1FKB/tDFcfetL2ZUfXBUGuILjPZZF
aIid6xyH2SHiYZVj81Bglz53vT9crh59dyGzoeo4ccBnDEWFwjq74GizpUnKclO4HCHiKEmNZFl1
mxtnDOUpE6QtkPMLlulpWXoghstg5eGqU1iw6UJPcGvj7XYG50oXlITX5gNTKY/LXWBcNxV1aOnS
4CgKRoCoCj4+CZ9wGChu57hK0Wpgd4mPhyQcsgoq/jxEWINExC+ruYROXR08R/POTVm69I3DOBxt
rz8stOa0p6WluhMdm0pUEJyPg9MO8bzmz8FqmF/mxnEvFtubXlujo8pBDkGsr1aX3vRipeig7vJC
4BLAwaRfTm1qbY+tsKpqTIq587XvVb0YyHZdPWpkNlxZCqTLTuIqdnCgcabEYURmh/7cwWr9myAL
8F3N/oDeJjiwz8cGX8KJTD19GU0LXL+ABHC7NK0CvKIIaKyF1uQKZ560JurJC+fKq4QelcZSVIlW
EXoKyQpSklWOdnUDi9rqtVhrliXbjl0vNiGuO3pgwQSGVcdRyAn5g6QXRP20tFsL47dVrnjtzNR5
QGmYCyYrmH80yi+IFNPbdp+qqjm2Q+d72a3lbdM0HwK8XUy97K0X6iGQn0R9BlZSf9SoDoK1TxlD
DWrQ/J3Dr7PN7lj+6ndKP46xFWY/uSwA/nRXGS+d3y/38yfgH64asH/zE/xf7R0ABZi5NNI4ZgdJ
sbcE5J+FAeZneYBy6RGo2Mz9sA2GH86WDVtMgiN9gBdNMworCUUE9Cznz+nv9QTlahpRs7cWbNPs
Tof6s8xgpBq2DQ3F3RSza37q9t6DYsOhGwGQXB8JoHErsfaOhOqzLsHZmxOGvUOBVF12O+y9Cu7e
sKAmuhbcz9oFPoB+TbrESUCvodXu/QzF3tTgStE+B8te38A1ggyW/VnrwG6JRXDvesj31geudhRA
OOSIKmrt6YUwNAPYsr63RajP4ojys0TC2Psk8r1ZYtw7Joa9bcKjdiKnku02KKcMqNfeSfFZT0FJ
/Pb63w3xf8OUsdjY2If+5w3x6efyJn/ZCX//in/shLs6u8tTxl4qgBbLQfAP4ZYj+W9omJTngZLZ
6YdsvP9oYWf/pH2A/CCKrg4Gig3qD4+V6fxGqxEyq83z/glm/E+2QoP99dfbkQGviswKKBWbD7Qj
p37dC3XwENPQdfrFPJjiZdJsL5T1+t2nlvJmM7QhyTWySEvTVQTh/Gsp++mrO5XDY99pj4Mu5Hlk
sAgr19tw24zaxZrigzxOXZnfje2gvY0eHQMBKEdGvX7q5ZAQCf3dtZ6zWve2XYB0DLW2NryLzRC+
ecNFUe++yHowIUew+HXWsWeW2F/7PQ6OMtKneVsWnO2g3ugxSKvSPnDF0z2KBGchhi+13yocDx6t
ggbEvMWlvsiE+Jt4uU6UOa9tsz8rOyvwne9lPrrOLHldWXmacjPOXreazzbtkgQzts7onEhxWcZ1
ZHqrc4EhyNHTkEmGVz6lK2yNCQ9WNQ1x3jndG1V9/o+MW4UXb6Zc5LAj/uipiXzpFfrjslF2Fys+
gjxWS2dekuMHBju6QX6ZlsY2RbPyaD+b9LKckq2DdkNYrTw1GfV7S1socPqtpeBWLn4y677zynEZ
/PEeMgB99JjVdc8vayyv6WjtTqU5P5d7TKFUM8MT5mgnzh207gzQI16KpZizZCXu4PnLdWeLy3zP
QMiMRoGxlnfWZziinchJAGn4rpaUbsRxft1KR0bmECAdI0Yt1fMyKSZYe+YCJsl7VnQisdJqfNz8
EXgwCfMj3XbPGuP90PH6+Sg9jF8+sQ5gCw/TVjzjsvsgvKEutz0Bwt3kZssHL2pG9drtWZGpa0+V
KgBEFla8bI0Zyj1l0nO6OIhhu2N8RzjBrJ57nNMxmYqOKNj0E43DvW7cLb2bA1Jzcq9YJXifsjvS
lbuO1dGebMY6G8BLvHgMmKclygxmwxy18ito0uLaV7OZwCrTL7yuKA7tsjnhqEE1J9vqvxejOR2b
ySneAV0v50WQFO0HR+Pkt+5tGtlPgordraOpR8AaDNH3oA9nHcZ5RV/sY3nyRQXgM6uD9EPZxXhQ
HEcvWBfygxBEMajtokkXp/ZxInnUOVVzQVcfksweTcLKSGl5Sl6p24NLk0PxdJYRZgp0UE4dnEgK
C8k7OXvyydGBj2NjA+1sLk/GnpESNSIyoaltT081kgS9o7QXInF6aFVLec4HJ4hwthcf1kgQa9xo
vzIUW+1s04UwDa4dwt+srpqpoj/BVbzxo/CH2CJq9dExDmbojOLshB1crSwWJdnbaG2oUzArfXxY
jWn2Hmu7YrfUTVJOgC6Lmx71/WB1bLOpl3qSw8NYPklaZBnQGlRL059rntsxE0ApLcXfxoNV0ZSE
/WncE3F6Ok135R6Vm5g2M07f83P+sqw/BtQhPck8knajKtoTUNF1xtvNo7VE2urqSzTwaVFF5aw+
DJisKGFz2h/cZRzzD/ZvYN5kaQc2c33o5xssOfIVCt88caq0we0zvdQvYX43x7nw+ygfNPOom5w6
hmq+8NbSPSKAsUosDOc7PdMSx0KeoqOMfsl+II8abPURbyDoS3/7SjVM8OwV/XJTl9obr9SLuRWQ
F+qqS5pBnZU22DcQnKpY1GZ52WrFj1T6Ii7MvnhuREl3vNs7xbXJKRRX67hZMS5A425o0i/DJ7ci
YIBw1dt1dzYCdWC6O11Bl+0fbCvQHitbem9EfAsuPcFAoD8gdjVmOa8xdDwzSbt2Oaz1ql+76dqR
yVMyzpRSNzUl2wl/TnvoKMU7iv2trezUvW+2yTqkg7Mk9I7mR6+e7urcLjjyydNs6DmxDrXte8nm
E8p12/vZWl8ZHjknwIPBd2HKe2+x8xkTrzWdLF99ddeyCQud87ZpTRd2bSBkj4Zlhcro1UeKFZKo
u9IuGVvmB4JZRtzqW5DAR4SImvk7ss9gPfBX4pp+dbtp+nS9FlBJ23X04qJdzHCRcGEnzyRqbpvZ
MQ/sJdRn04+Ccq9aMMRx1TLBGqyuAefvdzXCYXBkeBLV0l6oCuCsOwsnzIz5YURfJUbVVbAHGkIy
YxechmU5EiWlSYHWlKjDGxx6bkADbk9ltq5RejIamhYT9sZW2XTAFgIYF09BUQaxhfQRc1kMYqmG
C3zBjNW1/mMZvC9N4XXJFsyANGRf7PP4LdJsrlg54dXDSCXxWauGH1MFcUSlRGkpww63GXQ9OPv2
lmmifoU5sUtafS0Pc6F0WIqOe9IcD3RBT8EGPWGECjJswaTXmKVXZY1gULHeDe63bdPXsIWoluSV
+oa6XV2STGDySIUZ8e15DXtO4Vc8A/IoCzuP5qr6gIMUHJZ++0blKlcJNAbKGFYnvU47I8VAXLL0
o8S8w32cEfCUuEsrM43yyZB0hfgTmzt+bVfPXjvD+SB5/BOtpz7UDgeGabFfGgEovqnk8FyTnAo3
YYuwp3j+Q4y2ScEykoLNIhp6cs7vOqcu7wOz68FJmNvVRPzkMHvVt7FJAT5OvF2sUtMLuhMbhrIe
adVG5Mk48JeLz7ruFvW72SoTQYcR62g37qGcvDUiAtweZLk1V6Zh7hOvzcYAsb7LPF3DiSkIaRA+
wwwUgrz34D/DY9vuKkvSz9GSKyE56o1Lyw8M4TOcVFW+8tpX6lrNrf80eA5fa+ncZyjAoPVujrQ6
yO5HgEB3DmLdq0emCLvJTCdzdkP4V54sAqcWxFtgJo5M+UHDH7G/BE5FYYzjwrBRfmJvqWvipPfo
jx8n+JfbsBe7ufgsoqwz6blYCGWv/J4RfI3udqJQ6qRvi4cNxfG/IfXSBqAv38s+Vbebbmk0OE75
dCp7Zd06ZJ4TYyuhNNhkiie4xmsUmBOzjtRxeCL05mHwA+dhXnXUUVZNIlmpCfTXsWX9QdCEVDYv
Ko3kG0JAF66ecI99bzi8Mq2rKBmWAV2C6D5uDF3iEe10xEGiXzHCLr9KDHPvtOqdmVdS/l52eRYN
mfWDAg7nsXUL87uRQczAJuECraD4drno546hfVHl2PEXZ12+67VfE8Ea5eM2gx1NWTyvcUijorfu
HWVClymqnBdPbAfEr7Wt5HF2J+9HmnlNlMOsuQ2UU7w4vbDxVRROLJq5Thyu+lHf9Vsdi8Frkk5Z
3YOwSJRHKz+Km6XCLBDqKaVi2A7GLN4EeSLGM3K9bXFjHjNDlNQSzeoA1hYEK5+LMJOrHUuHkvfj
nnF9YTWrXtjixq/1vOiPVanSk156YFScmRNvOrhnsoga2FRNEqtndl0/Z0T/VhTblfDRlotzoJm8
ELk+V0nP5flsDlin82YxqhDmeh+7E+Z+7sniXm2LetH9bfzh9PN08mWH+bws1S0amfjSWY6oeP86
gOMWZvSqcXDhcLrangOhmq7k+iDnp4zBXhBxTxqDGBeGRZMDtoEpgYagqkvGi1RZYxt3v8ypv7lf
MYkUmK39hZ3VH+2AFxGsSrgKl4GRjVZx49J1RQXSTEKk88bHemvxc8i81a6ZjhWvmLvag0j9xo6b
bYGWOLZ6XPol3WQMpTWi0s3cvOBXSu8n/q+npWF5FU3wODecjWU7jO+k/CnHyr3y4IIJuhQtR9K6
nfbRUTM1T0ZO7mH3hx5nv6kYcNM/vlK+FHdQJSCIb7UMHdE7h5m2x/vadoSInY0pWDkxJJpKY7xq
2m0MbbNsT6O3ZHdmT2Xzg++VortdspzhQpAtOrD0yPdcXD4/mj4PVklRI+UyGFk4bhb+mGGRGGb7
sVOZW+EuG1eGQkISNMibIITRMW2X9WJjgZClkdRb34rYkjnr6OJTsdlJ1zqp3HVeTL/A9LDNWe+d
yHP0xjuKSBrrGoVbVwVYfTgvqy7KxPSzGVkOL1FUMahh9VGiu5qIgJ5GTP8Py6C4CxiDdtwcN48n
RbyZ8HR/QT1QGY/KKq5ojy6i1By9jwb00Xcd+Ym4diFUeVya/klWQVq8GoY9Rg28C8A0RDh9hMG9
h9P3fzKayk4uhZr0fygsa0MhvGfc/XoC5n+zE8I11UGacnvTOVhfIvU7GLBqsp0UxnT8secNLup9
T5P413yxm4d5NpzzRltPRDtBjyfHwLpv5A06RiVVSNaC08FQyeNSTUYkRNnd2PbQxFRs2l8kp8hE
LWjJW2uUFN8b++F8WJPFFCohEnuh9S3tJ1zcHxgWBgdR6eabYy/2qalEH6YVK1PNqBe+VZcfMYlB
Z+0c/wrTABo9ytv8XgfadKxN+9ZaciLjrbilvog2OaVT5GKa62kw6oGj1JhdVVxpF2RQe054boZD
j2czGVbS5y0PpQ5PosiTOW3yhH6znNuIVn1jiE1fGQU9J61IrVib2UlamH14BfaqQE3XgDCUlgUT
wAYzH3jarbK29YFCrNO4VPX1Uo1t5GSthQ9n1j4buPKffe/a12laALfoBxqjMG7YlWThH3vsBZTY
wwKom0QwcWfTmVeyunpwMy1ZldD/4J4q2l8Ss9ZZMGVHMkI37ny/mUIp5dJFFKi9Sa8t4xbKE0RJ
Y/BvKm0QESCMKjFqGrTAvluvGT2U4LMlanhT5M0rFJ7XwWJ+R0L3aDuLoWPGnH7oCxurX+gbAF4a
zAwunsDKHBBPS0vMYyWBA5oio0Zow1gUQEmb+G2FZrt87X0uERm6+zb8AHrwVZbICxj+9C4ZFXy9
cLGshISeGdZFkBJVltS2A10Lm0zHRWqRZ4u0dinrRNC8N2Z0H111kG54WqR3NPSKnidhF1f021R3
zB90PR7tZfSTCdcqjTect0t9MuNhH/8svuyJ8A41LjGA4Vnp6z9noruHUpXTqbHVGM/aYN6Xinkz
2IDvKl/U2aN6KdT9yjsz14rzfO0ZdboQxk2NRLrXTPdblWeHrBjeua9xFKNeDpfEVjYX7dhPVZRN
cn0hokd0dpqvLatJnzlKPRXaMESeUN5l7loz3cUbB8cONNu8DTKkWFvE7TR+C4zhejZWC3OD+Uw5
RxWVk20felfgMUCUf8lBmYXWINoYuXyCuJE6T9tu1HNwIFy2a35VaDRg4LLFlp8/Ctf4sFhJD/PK
6ajN+vYx78xXC636wppa+4ekBAAIuLDiXmueF5w/H30PBvmQtb6rQqYeHL6XHqDA5jYP/qrQeLqs
NGLV+5hy8YFO4TJN9BQF6/wwGFRchrWfkktmADEfHGmvCDVNY3DHWZwjCLLgAe4eHXY4EzuXbw8n
LIaGXEFh4h1w9UqcTYbI81ZkC1edFM4U3851VTr97UQVBmYdQkZ4HqrCCF1zw+I7+cBqEwq/+xuT
OOYF/4P/VMF8MjPzwS47Fg+/yM9Br1fn1WFzNaz5e1r143Ckmpr2XXe0Q8/D7eXUy3krvIpX3Xim
rq+NakP1xAf3WWDfQpQLRi/0DGyJvBOc8lAAjqbDSTiTJkuCu4hpPpXdePKmAXvudl544KMaw89F
hRssDeAIbjUBunLwzrBK1YGGcS/xKrc+9w7jvwGVj1YGyqM4mWIUtgdqwqf7oJQ/dMr54jFdnQTk
4f1g74XXzepdtDb1oJ6m8iN3FwaIVCfdIta9INdIqrG0Pp6FW8DhAsSQ60SlccobJ4BCWiycUV60
KtOZXKgu1CvnRz+nwf2o6Yzh0rmI8m79VmUGkzO1Wgf0nSIslfWeOpPxiHe4it1lhcRUjt3805He
9MjaR0Oj64jI04fxLAaGUTrqopFq9nUtfI05S1HgEtSr6hS47bWtahmlm2WPsVkQKE+8zGi8sNQB
GA7sj0YA9qAqVugQRte9EhWxGoJm2/YdGRIOvwFQ6q1zG3ELPU07lWx4dLN53nLyK7w+HjnGiCBx
CcO4yM5Cs7PEatb1nXMWr1bWN29Fafi33Wyl15vKx+9a4X5kgtAkPl5NngfG0PfbgkToFN5Maymh
8i8+4KY708zt7UYsftfjg2m6I1PQhl4S3LtQ4wL3sCd/vditiiXuzaKlaYsw7qHokU9tPdVu6M1z
iLGyGZyKdHpaM+cLJwTnEZd6d8iGVZ14D9bEFdLgcuU/z77LCp+35mMGQzSSOVUEhkzxPLVaVDap
TyTSNIu45pKuXc4mh5qrmiqhcFBTfskZQi2HjFxGJLBpj2e7Zf0JXVTM8pjBvNiHRFChZmZhnGka
ApQtlxuOd3NHowz5U/Esenu4RPv0JzhAXqCHo86MbwXtS9VKaby6xOytm5mar6eJP8CN/WHcXsZK
YX/uEXlx/0ECwkG5ymtr7Mcrj6dniPR+Vsd5aIurrYeGGbNhBaESY8aJiWRlCHKN5KNQ+0mIVea1
qVzvGwFNwHjVWKpTj3cfAzCUNIYito8bVaunCDl/eXTGHrthC6vPBcWrw5swteCZ4tLsB0bmMoup
7kPKY6ZGCqeCvBRZvGjJBqCZTkbJxZuuOKy/i9708WT1H+RJyRa0wz3cxjIkyaCf+8pVYBLG+ZgV
6XBPO4/5Uu76dAxVnPyqcIw7LLDU2dTD5D9IR7CfspZ1d/WmTS8aKW5QKgNzmWYL/GuAROqFYJp+
ozfzejRBLwRcXqV1Lx3fewgwbTch/WnBJU1z5vtaF9VZSX8iSfpJMzVH3lKKGgTJWMeHtuTLPI8L
BwU48ubdzD3OTAVDSwRZecOEX7GfBMKqL0vDXB1S0LPDb7qh607R7AaKVN5tGf7a0F17MyFkujzp
m5edS5ulEjVz/aj7xnhNDSwt7BTKj5l0iJs8oO8mzMpieBlhY2JKZ9fNOpvNjEcq5rJTJHomy2OP
118PGY1eCoqCLqZZB4kj3eoKVx8c5Ypo4VW3dfMXVbZqYZUtmjjXwGS6wk5ZThQVmdXQ3zjr7J+a
3MgSgJ79EcugHVk9re8ExGd17RPN/8r0VmMTm/snnfPdleiG+TAqTv+MMz2mNFr+gLl4iuiJpjMX
LSPKetlcw777rk2GkbA4pSc3p09Pw/J2HUy8GlZp5kkxWBddbvh37QKRccYdeXY1j7ifm9axrbh1
jJwYI+bN4gyJbrzWhFddEcx5h8RiJBNY20Ppr2/Z2sDSsituBrSXYrRIMWIOYn3WCis9eMLIE/CV
VoJRcufu9TKasANcVLJjZtNV7WoyaKPd01qMGC8ZgiwBsFjTN/Fa1DaMFZVvp1UsLgVahhzvfK9j
DmwENRA0x5zqh8Uh37zmbDalU3V4z8n/XmkezgQH+YYZK46ItcsPRuVD3+22G6fa+Pd6ei+tZb2d
VbtXIFXPgTS/WhmLNandpLCtLWZS8ha0wg1xRhfxTBYaFFONOdXTuoOJ9eo0gyu1s/Jh82ks7myH
tPqob4SSt1srLyyyzcNLD3r4DlcYkUDzxMFKHafNnr5p0Kxw+WpfLWyFB33jhLzzWo79xEa9+ONb
E5TD/TwO92NnggHBKsvWbuwXwbzWbn0rWOEMmPnF0OrmFUmvHzYQkuvObEUoWP/DAhmMQU9gf1Uw
8ih9Wa4Q1JcLUQ8v/5Wt/3eytW7+jWzdtj+l/PnzV+n686v+kK594zcyeoCK/vBi/SFbB/pvWGlA
nO/kEOyr/j/zxhaCNvFfQB2mjpq827T+IVtb9m/4uj6zcb7DE0BS8z9wcNGL8atqbftIg3vEVDcs
Vw9Qz39VrT3SV1o+E5mgdlca1H55KSALuGEz8wPVILnjq/LM+Uqh7Eb77Tk25GIdvSz1TkODiTx1
UtkkpuMZN3Kw3acFw3niFnobZxljv2gWFpYOd/mKzWYYYEg41luQtcaF2et1NAYOt488sxM0qh9j
26uLyZLZ0SnaLHaJCXFMozx929R4XCcUZi9AocM0D6eVOjKM1NT/4OdZu692P/hvrZDNxYif56AX
gH6k58W6msiBlEV2azB4OrVrUT+ZuTVxi5Q2WAcC+x1IJ87e5qRtZ/BKAfY003XfUwz4vKlNTwN3
I7LsuhOr+sJYz79ayk1/AFxuxm3t3aOHBNe0IA0k47LsG+BxDl1WRRmGN04xbQBwnUtdoOCk7Wku
CJkIa73v+s67EK3ZHkh9rzSST7CPvOCctVXsdEt1p/kpOIzUrBj2z35S002LODA4j0K32mQebD0C
mmBfBQBVL0a4kixACO82acFzLds+qcxhi3Kt3GIJq+AapiYolcHXGEHO8/hET6RN1MzxrjLmcke7
N5oDFnWHP1Vu9/1e/e4VGiL9aD65S7N8X2EcJHLmBJZ6leTqSWRlXl14r3T2xVq/rA92UXrvI6fg
nlpvzi3yaPRWeRqnzDziWUyfJ7/oDvh23B9+4VbrNZJ2eZ1B/uCeRs4KfIpi5NjUU1yAHSO9IsQB
miMbABbgxMf0sJveahxhIngHTz1/ZEgyh00naxkNaUMMCdPkvb3Osr5ay/5LDp+C43G3vmnsPhaj
f0e/hr0+ETPk6t8Rfs8JruV90mc0VLpmSkZoq/xzSrnPrWVM3XU9G1/yRQNbA+FwOPljV1GMNVC6
2/4/9s5sOW7k2qJfBAemBBKvNRdJcRYl6gVBiRLmecrE198Fqm2LJZl0+/k6wt3qbomoAhI5nLP3
2g4976INzt0Gn+Gqzl22NIllFP5hMIZE79qO1YpuuZtl63lQ0xnJlbsUAliwmlXr7GK3lhiXyPde
NZVdHDQJ4eulOwFN2B1Mznv2QD1rQke5SRvkEJ1F11shsb82DHEIwHNwXC+bD61nP1V544cXjZOr
+Ly28k8e9bfbohL70JCWceySwQ3tfd47aeavRmDowbfZ1U2yjVDLo/FS3XU32LL4FpROiMWtBCQt
++GjqJVz3cohbodtnvn3btilW9wrbD7yMjjDb4v2JCAWRm/q2Ktva2VAKYeFOkaHmi1Z+9HOaXWz
+4RcQykW20rln5VsHjtjU8BgNhHLedz3Yqzn3QITJtkSi5H5iH5h6tmNG9Flo/3C/4Q8jpI4CHpt
3ZQoIMPnlJQfTkJzQL8qQMgFQHprDtUdI5cWNC7VASlES07mWo2ce1cmOelffbasxkGWo4mft8oR
1+Pyweo3DsBqVyG5Y+6HKSqCh4Ia5VO21PypNmorOloUwwiEbCZ1Xfa++6xd4CF7QEpjffB1A3p+
NBK6G72FSHtbioxLznnEHqNQJt5MmHnFGl8WHhJzqpM9cx9X7LMQQ6YddIDhcUukNPyToKyufCgq
lCU0mjunP88wRproEUYDZ6nyo60Zl96VGj21o3nOP5r5mK7gBPbx2gPpe59P0j6nS8EBNKPPstDk
g2mfkh37gUBtkH9JwHuvAKOJLHdx0A0OeGjLjvelTxWuitvsGvjsxfxSrGtx7hNfJdDY1LW/q6be
xUALvoCXitisZkNMlbXqU88+o9S9Z5cFZ072qCMB/idbjheOsQPibd6R8Q05iEIwHN6JarFnlOWl
Hw/VrRx97xIG1fhIX8XWK9sJzvXiziWixNpkyo1ouwBEX83zQNG06Gb9rdHNV9aoluaD69FaDDFL
jwkyR9tszLtotsKdMlP5UbhRh1LKCFkcyvyYR353VfXSQNcINHQszfAbWdYCDh8tC9+Ljkyd4QHr
s/mZHT+UziKQj6OF+wvrrF0fsN6pc39eBFvClquoUeS5c5D5EmOfORNNBXE8UjsSVamt9iYkpp5K
FxLLEU4qkfHztUfvm75usO84FX+c/ao/am8c9lZbznviVvH2pRa0orkzkDShr73yyfdIN62y5Xni
MMUHeAc2desQ68L171RAl9y28IBGdhhfQ26f8BzG2daFiAxwMpA7+t8jddTJjZkaZ/ezQ/luqagG
9dMo7f4DEl3r+zjY1U4A6N1mVmgdvK5xPhmK62GSXzJtumiXJnW9BQOcX2bm1DwMvIcfhpZWsgCJ
dkHDulzPcQknN1aYH514vCTRZF4LO/cO+Tx+aSSlU+3G8aewGszLMMS+PKSdx06gmCFkgdNbV4Vj
XnYqRrSS8OZfi9RXe2Br7ZP0S5qoXrZx1NzftJ1QeNYK6RHV0gU3GZSOcwvJ9depIwixpvS8zTTi
vNiMPoWYDtdWCZY5L30fv6Z2tom95IqYlvGZ8A5zO8VV80GRbHzuIPQhdJA03g30xXrjWjHHTmX1
Hw174Fw5dFHXrVyAA4ExVYh5lIcCWpjoFyAgoU+KbHwiBaI3j2qWZ6GW472XsyN5qYEhEoWUiCdb
SfYUbpxyBDJTZoK2JX6At8rTsX/ntKmMWPJIMYhiJDy6Tm7+f3//X+3vF47LW7LUT09dzFYTn8yr
Df7PP/bXBh/7wz+AINDq/8ungcr0n9pU2/0HmBiH3f1yjvhn+ik54rD4CD/iD/2FGvpLluqKfwBq
sBYMiw21bzHZ/Y39PZf4xbGH1YNOIEJoqESLb40TyOvd/YzxC/7ZgGBozAu44okalgiB3lupqem+
/HJj/uBWW37Yv7kdLxcjTAyEBlQlj6+7CGR/MYNEQi2kvt69gedeP5ZuZd9r1PYPGYBbj22ViZvf
9N2nYEzbw/9wacdEySsXb8tyXvr10omRWaqnf3jDuYBLBy0IhVFPvJQ+YYD3DuUMpI5mazsLDR8u
w9uXX37862+O6tcm0pA4JR7c6eVth4gSNPzOTV4YVEmkMfZUEPthrs+SarmcKni9376mzTD9/aIM
FagV2G/8Fz3yL7e7rPEfRnVg3wi7tLGzSOdoo9Fsdj5Hvoe6p0/pJgtDdSAZotvH/dA/ezUx6oCX
uQ+Nh8O0hlqoDtj0o3A7z7P7hNWOQj+1dNM6hxJA6z5ZvNirjqMB5Wo0s85Ph9h/9DguFqHTe+fh
LBCeLdh9uycWRzlJh6Cp2L6xBqqg8AlcAkSGTO1kp6z7PNHVOZCK7vntu7eIsX+7asDrgV6SCwcn
A8YzEEATy2jdpNZo3dN/ZYXyy/gHcHnKqNasbgWnoUsUWoh8NWiA/dvX//3FxLYq6XSxJWXcnL4r
YxCUGSm21o1nQCdJlheGRo66jsbGei8X7g8DBcAob5Yky8z/zaQZagAvpjlYN24SqFuDan22GxPU
uajHnO5ZZa77NJre8nbCf17X/sTLYrDQXr9gZ/7+F4cExmxp+RQ/Tket7eJZBUdj3gx4fZq164d5
RSh9wZY6KbPgf3hJlsLLEnMW8N1PmWBWTd644Yw2GwTWatqR+bxmS1adD75ZnSPtdGk7go1pmoRR
TiKUdQnPXtFWSy38JFYK8cbwRnUbIbbEEmVC3+qzMdiCpYGwEWNK4qemvGWUtTncBVh98t3bt+zF
XXoyWH2b52dioQBdJU9ekTSPwkEiC7+B7WM2u9mHEfEybjgp14/tgtHISbd+LDU3kIQUmCHJnCcw
iAKyY3TB8SLJ3Cbfz9NMd9UKTTLAWlPdvv05/zALLr4MDBUkdLrCPPmYhkJ54iEDvRGk+4FtXW6z
Vbf1o2WG1n2Tt++N7GUFffUWw59kVOONpERGJer0ikUf2alJwMzNVDvVuegL8RQiquAvDnbkwXQI
w3I8tDdkGYYkGoxpzDaZasFdMizHMqfU/bNTgfEHPpnsTYOXIAEDSK2VMfFyizpWDQ8cAyCZbvTh
C1mOvIBMhLScwvflrIfq/O3byDc4/Vp8E54zDDTXxu97CmObZRb4TaKjm4pRsg6IlGs3qW+kVxzs
6cCVqP2mdeqPKLtsYeQeh50ijHcB+KaFIGKSoqNVjaEstdG9Fr2/G+fI6A+x1w0WTP+Ifj5nYwR6
pjMjdDXjyfhIuz3qN6YPTIWThIZQSigswR6mbfJmpN00bFkCPBK3Fjm0K+vyhtiZ+Fx2RXphF7K6
HFPoLbgsWji6tZ0bny0CRa+sSuffTGqLG3wJ9H9sPZMJptUYP2tRae+s13G5SXrWb4BYoiCnw0nr
68aE9YuSMvDClVt15kb4sWxWo+8b9cMAs2LaOKHv3wVBE5urJo0yIknssRlpMEUtXQAv0O3a6235
lfQ21ApkZfTZYeawgItlGGC92w12wWMoLffCjiDQr2ryBE1Kr3d6Gi1Uje4YtTfGhE8JoEhfCs4b
NrXIIo7q+homRY6kJXDjcCNTQuUBU7DsZowRH0cErvAKJ0wD7D/avvDJfPxofLpKiCfk72wTSsls
wxaQiXisWQW6RPPHtE8OziaEtIHVhYYwR4009y9QgGQDK7NFP6dGzwR2oT5zYJzrD55TNReGCqS1
i3RVxDRkEyWP+HLiyzEL+m8SewT6fTs2lxi2dhPAY7hsbbfdtQFtuQZLzGSa82erk8mZjbiPSCdJ
F6+vCBFImm5PUne4o8NTfeFwJT5ziherxqvjZwaK+h4NIekWcxyVG3Pg8azjsAfkGtViU1j+uGZg
FaZDUaVURCbh9NErWfXPboPGRhEqX98bhPllGEZll7lnZZkHxb0/hhVBNSoGLuRvCh8+ISUV7ZIp
DgkEk6PN31H92oLGMEm2pLQlGutBsZGZFdSfjXjEc1gEWUo3RTe6kDvDXDY/M2hctLXcaQKtqnMz
kmyGmMHdp0ZOvrNF3VtrBEBh/lEZHU8MDCGLgtbOgHg9YF6hwZTsSaer0MlIi8XUxYTprFEz1Y+g
Wniy5E/zUPFXQNQyQSpNwcTwKiPkRZy9mbITFx2xL+d+PZMd9xSSjkZyh8l+tc8ls1ExiScVzsHD
ZNvdczfH7tEbPCYel3mI0IpgW7QxOp2GN1QC7nb48boRfDhOHBAQqM4/DB7gxkwX1XlWZvZ9Yy76
TyTWwUXfU6HipOqjIs/doCBI0ur5N9GM1Iq6ExsfGycACbk+3badFNyc1malJrTG4Xe0sZVeUnJk
ikFELS+iBqxY4FfqFm46i3piMKO+zJHs4eRFKFhE/RQMYlhJYAPBciuXgtx9hy96YMPBpy1QyKUI
iVx1XbHttGFwJ/q6edmLZDkym6sSTd4hikbrcph5IiO4jXMN5+IegTTANDvVt0PCccPJU/ue0hHL
c6/qaaOX3aO2uffAe/hSvJJcKYvH7hkLGmi45Vc0LBElRCm7TzMbxZPMF7bnsj2qc1bbJoiaxzQr
2P2qpNO3LxuFOWsIJkQd5v08vqddzqNt+DAUZ9Jn18nJJUt8hyZss3TO0cCuvSqknoFdqCJhY+bZ
2cunLauGhacDY0X6oro1U5NNeFWRfCOsrH7EP8VqrjPbaLfhwv/zwLmHq5EUherYdC2fHJ8bOyjy
VrS6aIwWSd3LBgc1FISQOe2ffx5+nGVN1mmwQOiEJiHMxbkAtwpqNOVO4NTA0AVppL7T5nuWHT5g
bdPqWEGem9ItLfXwa24QWA9FaXmFrFCkajeqdtkGsfL0m3a6ke7UPedBxzOqIeRhDuqeA9xg7bZ0
BXNbtRxVshhEjKUtNga4KY8eT/qy7Bz/yNepzpGle7coyzFD4MXm02KCaQ/TxIqLe419OTbHSxMp
Od4Gd+An4wdQ165M9fChniIjpucecgYkU5JRO8RgybaS/11g3GYAY4HnnvWWDLDcJf59mklkeX1j
wtwhIwRRRAw1JS4m7in2fL7/yySQ5Q5Y7aTkruQUTi88LZwjOYe8cN5yeUBqcp0ub32Oa+YxRRx0
HkQ8Vbb7zaEJHZ5qYkM+w1213IeJLWhQJuEDiG91rXTkPSE6530lXYaOGinA8ALA0F20bccneRmJ
rkothLMJU4Cw2KNvLSxLDnvaJuquAxXa01FWywNKG5epya7C5lC0VNYS5OIoWDiOdlsEEWyKbIlD
aWVT5b7TJqg3J02te9uQnAHoS7M0KWkRPt5ykx0bkcKKeT7I8dgH9aMXwUhYN9akrl++ISsRe+Ru
ocC0RPAhFuZmz5NRP86WwysacURNmLrN1cSR9n5o+JeodXgs/bJLm2Ho5z93jC/Lpp5NRlSdG87R
kTHffRY1pCRbGjj37WLTDgMnmeWutfWoAiDmVj5v2uXjxB7fIktCl3zOnve1jKGcEOvHazVr7Iq+
Mzv0BTE44RaPmI6SjJfLdiWzY9y1AqkjQ56+RwbEME4IC9pOo98cdCKQA4oAFOStaiekUyUdDcSI
UBafXLXMLPxuKCxLkT/PB/eYNRX+SXquU47zkhCjbT7EdnNnmfbEEAkzbvS8LC5J+jL3KTs19lVk
McmzFYmWIzlKNPp3BWPi5Qb8nIuWg/uY2swLy8TaRj4rzsvYRTXEO6n6uj0oP9FfW5ahm5fx6aLL
3KcUAvZj2bjZB6JMGCLSHNqDK7LxLI401c+fAwL9vfxRE7Yzrot2bA8kJAbbfOmCRB61lJdRAbSR
lwLHkHVJ9CkvclNacPCWakPWGaD+4dZZJTqPkplIz5Al/camCNHCjydEdflCxkQs0gq5Wb5u3Yn/
ptkItRvOnkA3Xb4CQ866F7FXTRsrj3izfLBrt7ZvL2rnmkEzpBWzvZNYV8K35xtO6gxqkzCJYd3j
X0a7z/sFNSQrXuLmizXKw2X5ph9B0xd9PMUgFiAct5GjJxAPPZNCFbVjuGsMkg23sBP5tOnQ85o5
jea6uFHVbaHdluhIjmpgCTQbP4F2BHn/iGJoAklikD3ckoHRshea70ZLJurQD2MZX1lLF5bYqsK6
xKLGpxCkAaMlSZD8bEwLTvZ9LwY2IZGRQcVbukMlnTe+rx9M1y6iz7tBquKKkv+32AiNdYYK8yDy
hrY4HNzzKYvSHxH+ppVPmuHKwbebASB0eIEVyyMFe1YknSCh7Sl5BuxQtPeQpZr7nNQ80ErgCN8b
Q+rszFLqkY5G1SPHVsWRWn/6wXE7y1qzahZHTvbqUKJV0WvyCshsrJzqR6By9guerZgM2WTC1e1s
HE9Kdb151iyT/xmeBQqR4EjZUw1uxQkmpxNjVDZVGLz1A/nd4WTcRanN42mLmr82gcVNgjOorqkA
ThgEp/ZASZx5qRnZ4xTLlq6JpbolZpIdHhqb9QBt9fzloJzljILJCXhVg3iBS76wMcPZp9iEJW3a
uOHEJ1Uvi0lId+ZxFkmV4RCGbYn6qg626bKGW7SCHkIZMoJeDoaRGZX1GeC3mimvZ06r4BOG59TT
2gPe1OCC6G33ONUwZCMFncky+gVxig8dh4x75AzGc4X+yfqJ9pHRWkTMVjMeqftxoWq+zJtBmjE5
BiyYW92UvBP5st+sw0BeFCRDFpuwpnw1Kbd+hK0ykUfCvNc2vEI9OUH7JEQkblRi5y1OejpmeGHW
nO3ig42i6rs7emaHmXDgjeuXVrjIGthSP3cYDTUSg5W5QLbsHn0SlfwjBzbVHzrON5h/hnZfAbbZ
QQHAwym7XjyZpCXf41OmZCcCZiXqPNwSPzVYNnDDcZIoPBYWD+zJfUzFGuub7xyJcOJ9mKNlOnjZ
Mguz+OFFEHKokhXmLiJKVW493ds7rhzf04RWH9WCYI0Rc3/ErJVtOt4QZmdOOzPwX3uRRHsFFgzt
1sZ1ayACRdAblHLrtI462JEwvg21I57TYJi/I98fsc2rju32lCPFI1iDykVnXlhsyvY5xZXPC/Sh
RescIkdtGsLTt02lmjPhqOQy8QkSi1Iv+VTUfXTnscdX66GgGZ51wtxrKfRl4NThR1in2beq0fwk
XOPkl6OND6LruTQ4seZmNFmLlQ5zMOxc7//BI9//mw6PRVGZTsR/Bo/scjYkz0+/tnf++jP/1G+Z
/+BHQLcygcejY1qEWn+1d6S/kEc8Qd+D8n9AGftfPR7HoseDsIp+AAUXm8rYvzRc9IQE/siF6ke3
YsmF+js9ntfVIgHfxBGu41oEWvBLNDBUk37pA0Q4DdEmIvC37SHq2ZkG7Ctcm22jO5BmtPJFW8KX
xEW+ecm+++VeXf+sQv6KKHxdghOCNtYiXeP+UF71eNNfX71pojkYMSLuJwgOW1+T5GMlIFK1nxTv
NHn+eKlAUlikMcatO7lU66SoXXFq7F2LHWZu4+bCL1dvCdBtNn//W3ErA+D95CK4zkl7YLZUBnfC
7VlM6F0rh/xwaKvZulf+cHz7Uq87ET9voMN3cjmZs26fCvAUWfUgGrmBhOcFSyj7TdkO3g80HZuo
DGGgUW2B57BE+5igKd6+OGPwlwLqPy++QAUZxRaH9ddPr1dxGDp13+8JwKbKmap4W1oYPN6+yu8P
TtiMSx9oCZ0leh6vr9JF0oFxEQ77lsYhuGO7xLonsNaP27Qu2CG+fbnXHaXlSwnb4t1CY2EzTE6x
oKIZbVQW6AUjjWMoztrvbFZ+yKgqCK8szgk7r9/p//1+G4VtE56xhLYsC8FJ5TuMs5Q2VjXsUxN9
cBkG+EzNoNq+/b1e19d/fi/ajBwYyIihE7Dc5l9edM65LP5NNuydZIkqNoyLyADgbNk2+Z+FeOc7
/eku/nq1k4fmuSZHSpEPezlOFrEjlIdGHA81eDAMiQHehyz7+vYXPGlp/vyGsJg8jGOEc9BDfv0N
dZx5cpp47azYc69cIswfIqIaj141y8NQsc4PDeFiGp0f4J9nfCISj5JzgGFS7cchGLeDsmHrTH79
TSkHhJIHDdAO++ZubjVYYezoVtbM70xM1h+ePz0tsiMQAICLOR1xsos8uwLYsU8mdH4rFxm/v1JK
jFvDcIh+7axmXUsOMujuUNDg+v2CW4ETDLXcSx+RDYr+KLiiYfgXf/M/dlfFHz8a8/Pyhgv+v/z3
XwYNB3Yvm0Xe71Ufb1EECYJ0SatuMNORgB11H1XigIKaPILgKszaZ6rEotSFkGg2hQIgMJolNZYl
7lgDunGsOtyEJSedEvjueTTY7aXtzcZxzvBPNGPfbyafkmwDuf5hAND/0I8yXAdO0nDMM/yd49ho
jRzCm1GMnvVZ262wpXJiC0WwUrk4BxT/cSAA4zJzaVNoZybNwRnQ5hv9FUbY+QBXlnqMC2ZZkVN+
Ycba/GS0AG5BUMG7FfpHpp3bXmI9DfxoQdPG/RU/udy9PVp/f0HQmrIx4K1nDfb9k8GqukgMYloe
ehdfGhm2HGKajoSL3Q9zWG/hglh/+5XkioLJWtD3Wuab188yaIkYDeas37dheLQ6d5sTaRiU7gXq
LyTFgff57W/4+7wtaXAj1ELVQQqlfTKtgYcdS55Nv091TqGIMIhjhCltK21I/W9f6vdhiprdRgNC
e8V0AFm//mrRIMZ0GitWQUmUSGU01rGa2MX/D1dx6V3YktMV9/D1Vcg9MQpSqFjuvNaEjukHxmFo
Inn99mWs1x33ZR7j25DXJBfVu/+bEiZLUGF7dYArXVnVpuLYD/mIMrvXgfxBO+uzpWDgm76D/U9+
aqHhVHSE3puWTrT9Lx+DLYwlYC0thveT59c0EFeT0e8QeOY+cvEg34VT2u/cqU/kGraUe7SQ0GJ8
rL7n1eTfAmbBMCZA9xTz7JzhtQnfeQJLvOrJjgNRko/fgdpewJ71ZFmJXMMwwtjp9mU0lEezxTpq
os+diTG5DLt6IPVmqB9zwaucN4a+GgCMrHET2JtAgn3wy/x7ThjiZUaXap6nL0NqAFNJ+vpOl/jC
6z4RBxHF01mp80vD7N/bXPz5CwSQmBEv0OReUuJ+nVBDqw0KLSduaqxvoxZw6jC50UdaqCz6jZ9u
wg7XeOF7PStWW5zpeH6S1Ji71guOA+CetZLtCIKyCm4qBJ/30p2/zyIsz6h0BrupjgijyFKDtYLU
lDbB+PjO6Fwe+7/lBD9HJweWf32Dk7dg6pFiR5Wm4kY5jHSJoDwD81eSNGlu+qRlkh88vUpT8whM
bVx3NTbitz+C88dREAAEpD1kk5t78rpTWnKxow3dnnTLxc2cS/GVbdW173blKg/M54rE708+wQ7f
unZN8SxaAyuLSdukgT9G3c4GPLBpPRiLU2JNcIbsgb4jF9wrkaYgESLruy4ti6nSv/OdbCvMFGS9
EXyqJeozYJ/mhSGs/DBDEfNH887TXChyafvWEz3Od+7571s36XEapJkLpxmrzcktRxzsY5VgQmjS
/FMZ7und5xtjBqBQzcJ5Z5/4h2nbYw/MydP1+cG/UerzzCtbJp19TYgRJBIKgRaqcFfRmXr7OS4n
rpORxJUkhBjXJebsdGOPKXjAQisYSW10n1lO9CnNl84nFVIweTqDg2V6BkYKj/bs25f+w+pLyg8M
J8dhYWLj/fo1BNcBipI+2X7w9WPYy2vlN7ckoP7I/f4rR17vnQXqNPxgmUyRm8AXtaDAC+9UsRWM
RqeShCHLMby8HRz2PQA6N7qMx7Uzzt/J1LqvklxtIl2zuXFlsh67CJYBu5W3v/ofBxO6UVYWB1HQ
6bKcDD2p4SPv70QbfWPWCIsRIcQr6u4RhMP3Uhb+sDR7tOB4zBZnbw75r+80CvVsARPzkLFo7oGo
hPhYZPzOGfGP9xdVmMtIWkSxp6KXtLMiBJx1t+eM3K7lqADUlGmwxhViHKcOfHU0YsiH75YDSSGs
iGpAvlWjcT7PBNe+fYt/P5STu8ipkEM5igLSLl5/5wnK3Rx3YGWcsTcJtfGjXdfOH/Soo3VUWMYa
Ay7oAh8tSZUN5juv1Wnsw8tYYzfEzWbfLvEOvL58H42h7ZT4xbTlxl9rv0VvMbVRf9Ul1gIl8ypC
7qqBH0BWy9KvHL2GKBQC7+EuFIgCsvVk6AlslkPIsN33yH5E9K6I8g8TjQyIcWSOwd6ICvX1x4wN
mWhRes3eU2G7G8gl2bogwQEYiuSdW/KHSwXMn/j3cVYj8j153eEhdHXT+s2+h9T0w3U0oVFlXLQr
w0PM9vbD/+O1GImmt5TUfpvV6rKe+1qSXC3spL0JhOXtKk0dO20XlP+/Co3XvxfP/jCJsdulLMIW
kUTK03OjPeO1rAaulDhQPVHN1HfAr+0tqxvoagWVl/hP/c708cevx/kajbaHoPBU+hpFZtkHsWj2
sL1p8QnaBgk4wE1r2t07lyIXhiFwskKw08BY6qNbJKjlZCTLDJIx/huGiNsiXfS07rHHxe40b0QR
loQ80SIixgscw7pxxsnYcXIc1BbcnVPcECLPy5VgmQqOYafzB7seaZy3sIYHusNkTePDaeInMjCM
D5kDRHQXxYuxqisXB0zJV3LWS0q53ASjIBIFnJ+jz0k2ChDwtP68BdZLbldEwvW9N9gzIjXMUKSf
W4Xytk5Qx/bnYLKS4ruXUiyJ0LWZXnyu4pZOcptkbQxfubL0MS+pru3jxCrcrWHW1hlwM2XsOwQY
3aUoykFCFRl0eON1Vl7u+Gdj2hW0PTMFfT/IAKdkoxt9wNUi/M0gnCrdDaLJ70YDBRwpWUZ1sFoI
UjQrW5u0uRgwKTCNhdnkVunRj8CDreVQ0X/ToEmiLdR2YgOh9fiQVrygnsjl66Yg26gRyt6mGoHT
nhdw6EzqDvTZNjWAODZXCYDtJzIxqZf4Ya/Ws3Sr9g76qeEv/Z5UX0+hD1SFjNZ+q40m8G/NqoBi
TwM0GpZ2vdo1UgUJsqgIuaBbR/NMo5UYxbJlidrm4VL+M2kzZaumE/JjGsNlU3lR0Y91IVCu0rom
lU4ON9R5d8Mo6k8hesLPuSHN2770plVYoFo3NFwmhyA1Iu3Ige92KvbL2xCm5ujGSHVn+tJAC4gA
D7JiFw3jmYMlYG3X3VOaAdwVAxHdQ6qcHbIe1DrGtB2BgPAZWn/vdTDLAjfx9i6wlxU7ZhrB9GrO
O7dWX/2efq07aOim/vg0N544jNiQVqPSK5GQxmR6WwS6zbUIinZrmWUCdZKu62Am1jnW1viDM/E8
OC0gw0L/oWZH7IVh3STJokLQKjyGSATXKs0GNhWdj77XFZuu8+cb+nzHpif4AnKL4C/ZVUZ1SU1u
e5YpZW9mM4M11UPKSomTJM0uK2h/AtvgyV6H0r0tjBjVyCRjYN/tTOI7CAyMdvYChTNvwyivvyDE
My/K2Iec1YMOVGbf/vCMplwbAPs3koL1Hp2ogDMQ4FcijOLomIl97DR9OooUZ7aldomorV0m9OfC
HJrPqFwOwJ/R3erPQoWYl82AQt0Qfi68BfpKj08ex8Evd6PRhJtZGPdZIMOzLnSSjRdVcmumLsFg
04IMTsl7jzk33CatMV43UQvAhGhLYJ3dRa9Df5WrGSqtgXG/IdJYOn0C1LsoDmUhxx9uB+pkaYJT
4cpGZDF6PVRNibpxxU5zcUJUSdDfk/+A9N9m8HwqbDQqG59eJUjOnkkijYbpsebeXzYTowwnHxS8
zDqaA4GcBtyiHQpAec4vqq3ihdiGwha6u5B6iqbuUcet3wHts0N3yjZzZ7ePhkXLHQgiXBCbz7z3
Dbv6pgiWrQ9ORj9zU8gWLruuLH+RH3s9CjZfwp7K4ZYbZ5RnzY4ibZMc2pY7hZ20zDczTDb6rKm6
flGZYY3OkuOUYq0VQdJcWpMtd4BXIe4omplncdKZXz0zZD9Jfbfe0vLNz2sW2W+gXCIPDUhUrdMJ
kuYFHX3vzh2z8EdAcX+ADOUVHL7D0dzQ4VYfIbgVP9q6hQ6oi876Uiq/3XBEI2KhRLiCs3WCCdnp
fc+O5V5qN30EJjMwGHMFmtNuzhbXyTpRJTpr1+k+UYWjDZJ2oKH7cWAkxE7QfIbt1nxragJNMmU0
n9GYJIeU7GNYYqrPdok2u0+Cfivnw2qaNl4oin4zzOjvVrltiHVmutkGVYtYoxd0jkMDPcqnhLzl
VBq0u4xzU3Eo6orf3yfR+NCEUzRjQU8QDwUArRPY0y789oLW4LEu43wZg8Z0FgVpfGcWpIhUfjvY
u47baTxguOUr+nUGo57IXj6ql40PI2Kj6UMUhtFVIsmIq8x6/oApFRF6TEZx7dDHd2EZ3I09WC8C
Ff3mDOltfJVOXf2F0p2NPqkSV0RrNd62rIp5N0P+200V/MQ9UQrRFSz70V/XIhZXvEQNLxVPlyJ8
c5YVgXvlx3H9tV20zu7cIspMuN9Jmun9rEu9lzE31WhdDdrHbm5q0dZfxXLCXJfeDBIF/WBCoq9I
Djgw+bEGLhardZuz2kqDi3ns6q+9rtvPY8x9nX2/+UZOLFzFGTM5Ao6yCM8iqhH7IUAfEUyduHLn
BuvFSLTxlUoQprDfLQr9PKco83HY25PjImiZsDdfEPljAxNDlbs2kIcvQZhxWjJDDSHi2AolVm1p
cZWIKvxYe3F06Ymh+oIaItv0qAJRoxtzaMFWZxMpBscmHUs2Z7o1w01kDON5W/Dl0cGrj9JImRcB
ikPl4U/XphFdDUEDsiZGH4vN05R0LJwmP7ZZiJ6kDyjibJJsCs/Qb/EbwjHAIRxNeb9J57oaVjPv
OWWssvukNUVr6SND9SNXrMNQ50cLtBSjHFk6YvrUFndJEY8PCGYGH04fHzLHSn8r+7ZGtxd7d0Yw
N4Q7llN8hQi6tFadW7af8wbRjET2/2DWKrtFNehe2UAwLkRqEVbpjlwoM/SOih3yDzYZ8ZXbcddg
k+lrsOr6hzmjNjOUK0g/amV4Szqse0ScX16ADeQnVnN2y5ZdfQyIhHiGbOgahO1SEt+SxKN/+DVl
vjXRyCEJw8Lq2lXpGSDLPKPyIdfAbsaqbXjhrRtz5FrVA4CRYzGOBGHEaPyuZ7iRTL2ey0hjzoqv
8iytiKQB63dtOCA16JjmPGuzk/F4RAkvy3XQ9T9IG+LMNJpFivd2IhKtSq0HN0LuM06d9Z3cjQE5
t60aAnvy+UdlpzVuARsHDSQyMXxHCkc+QTj6jP265rbAEUejBpWXVCWPLe/9jMPhNugxNSa+N35X
tWxu+hCD9NDY9WU/4uhSOKJvrF5GVyFpN/s+IIA76aRzZB5DXqYl7zdRyv2nJklK86Y1yLZAxAup
91jpipsnHf8DZ+JwV6NxZRLzbJ+6ae8MNIT/j73zWK5b19Lwq3TdOU8xh0EPemdlywoOE5ZsScwZ
BEE+fX+QfPpa26ekuvMenCBre5MEgYWFtf7ghN/BD4vLuMLBRpalPLh+xath2zx3erfArDlIsk8v
Jqpt7Q53ICUBZC3ps0iaFhI4smabWLbODy/Cq9ZtQRq2YKo3toMkticdf28xXis6mu6mED3rEB/H
+bNV9erTC9iodkFE2WXirkujuRGRewGiPKMXaWacZVDVncYovwRKd2qOqTzNq7bnsoV/ZU4A4FKU
Lfe+9sVVULQulG/gqIhC+Y0fYwMdqQwBXZFVi7ZDxrsOAtCJl4lTOc/lJmNtXgCX6c/rJKhPUdJH
PMl2SAEj2n+UUB8itGFOigDUZ9FI51GW7mmXmRYhLeRfAHG3tW+1ayXcM6Vy9wv5ton/lmp+RJPu
MzVil1JZPukQm6ZblpKQyryZv4RqSj6bdTrtAtUefPQ2NtFkoCmWdc0hnJYH6n/VNwBLKHcBiJ8I
MG5CoOeEsw5myO7rvCiGk8IwEXiIDfOqQNZ2N4yjd1bFo9rgVlZd8z8BRfnYACeL34QzRcnnceAi
oxcHn0YzqlcUpmeoIqC9oizy7/1BlIcsC+5VbmISIpOUPJBUblXBn1w12ZReZCGFm8ayT3Dlsn6k
ZjztJPone2FbyybMRmczSRbj0OKfNSEYv03m2T8juXC/5K63rz3V7FhOBGD8XsEs+l20j8ooesay
wv6iWte6jKpIO5xV7m2bqnytyGF3aHvoRxvKewuNpOsZcZ+dJwcFTZW8EORcn2wTpdonQFAlkrkg
+C67nGmAQAOmoVpygLDWzugTVvmwVi3yKjQQ0MpGW2wMEF+3Ued6yGdVnCZTfRBFVyJt7RrnzZyr
68W0vwhMwXYsxV3mLDgE02MjIQvGy8r14juQ+KQZrtwVhMB81QLI/Bya/bIB7B+eDaC9keBKt6lX
Ijvm9N5V1XrQYtIpsmhalIjSzg3mvx4oWXI0o2DB+fVpm6j8qswdrQGYLxgN9H3NsbQ0gGCu6KHJ
iygW+dfKdv09Ygn4aAHfZMdaWkoaY2aAqo6d7nymmM2pLkCYejX2eXEaTZn5GU7caQ/0+xBLsZZw
Zi5eWLJDPeE45DYgtGnwrOppEOfUfecV+tIHSxnRV7x2V5xzHvoGK7EqRYuha30Jk6zGe1hKYX1V
QFtPGjv4YS3+U4wS3Xcy1vJ7OVQNQWsw7oLSM3aOHJOtCHClnn0ylnLuESdHynFBkzBOW9IhdZA2
shmnhtNM7kYG5oB6fYGF0qp2/ebKmBLAr/UcNFeUbxpzBV8C12ZoDgQhDAfy71WV19d2F1bXPqwo
uDSI1OBhPYnHcsDluh7yFNdKEyaZDbjvqgMFcOqh/nwzuzZovZ6Mh/eWcciBs4YHOXwC56Rs4da8
MMTZLamdLaXGCicUJE8QYbBvyY85mRZV6p4mhRoecWCAODEOGig8j9VzAdQZz8BFxN9NNLt/FGnP
Tt+4wNCHTsXfkZDgEO7GmYFh3BIPj4YHqw5lWBkF26Xw6psSnV1eUqqmBlNjIZudG01UNEalOSmp
DboXmcSyuUn9EQ1doPXxd8+CT4nWqwIdHeRR4W1csIPQiRzUlTdy4C63uQdcalOD0go4xCgummdu
PZxliyc4N5q1tJD3xa8u2ZG88s2LgSDSiTtRftykbjQbGGfoFACINI/EYQpnUEye6o3fVyStZYzt
1AqWdOCv8d5GaLeX+PzimqPd2RFverbHkauC64cyPrkO7qQvg+khbYjEJu3JDA0TTS8OIFc3K84T
zd5B5GjtdOAl19SCGHqYdvWNB36s3pdZTrkHZAGSl3WhikNrUQW6sqHhWjvhLd7ZjOPejTeBqOAV
0m9dT3HH8xWBRz2kR1k3PxtAMch9NQP8QBZRyGfpUxtdjZDG0gsfzthtMUt7jw95/aVC2eC6CKIO
40V0o29hbA3zQVGGj6/cURuO2xLbOErtLned1TEvz59VbdD/w+BizTth7VL7T2cQvi6jKEH8wour
YXBlL9B4bjY6nwc5PGU4ZGBoMPZAYscIiee9WWS2Wpcm6wdteMzlDzX1v9MpGwwT6R5BRuelbpuf
AEOliNLTW8kJLhnCnawpDtxswuxfWD2ZOAvU4QisyobtWF6lEj5op1PIMqhtAePLTu8s3G62XdmY
p/SkYdZUo3NdJaE6B8uU3S9LOt0BZZevZfX/d4O9ndun//7Xw2MFiDIbSIZ+ijd4UtB9v1WGNw/i
4b9ewauXDxV/8X9KeH/Ujl//7OTxv/+Fuyt/4299ETv6C+w7NVuUlEzwC1S/XwGoFFT/cuGFm2DP
wINAav0//Glg/cV5iI/DLwYrZum+zS+NEY9feUDINAhCN5CApv4HGiMvHe9/13j17QB+RTbWt0Lu
GnHCt20Atqe5Ytq5TynxOH9GaCR2TLQ0baMTGyFye76Hwp6J3TA7Jab0w+x5P8HutPU5pnD4T+5a
Q6+XAmE6xD3rKGYVoG+PbtBdb1ZGPgMdav3FX2UxQrYGHi+So8vaKccZJybYM4N9ZQUBfZJVYqLc
eofWBZywEloNpH93jjJbnzfRD9ojLZh13kpluRf1a1w6kNjb1TIfMPaZ8Y2Bovfbi/yHEv+RRTY+
Jpz9tcg3/wDTBfb7dnSwcbAomy7eUztMEhx8lQQpuUTvOk5xQeYdcUllZXX13LGy51t6uijfru10
7Hme2poSdff+Lb00CH9/YZzmgF5A0Q9BhNHWO7qlILdxIRz65BE7Ua+4wJYsKU4Xd+zgx6aGn03F
qgoyCkewJNtwhPGt4DWjf902xUOjhpmDdjCS8pyWphzIjuhjLDhUlIpXsRU4Ty33ae/Hhtr6kCT9
y2XBdTTdcvocvG6FwO5Ilfb9h3rbpQR7xyDT8gZTQL7k/4GNImwpVGDK+smk8+XfeHVmNJ+rMm6W
T+9f6G1rUF8I5JBGfHlav4PrvX2fc1l1ZLkqfnR425azbSFyuWQwJitcOUHuXk1D42k3X98rDbFm
3wrk5yLz6o8as28bOS93AmYKmDJ6hvhYHYMoaLfPZqRy/1HiVeZfethACWCZlQFy5RQuHvXcDwZZ
T4zfJg7PTjBxgUVrYAEKBUfdHATDy6LNPPtRWQlWU0+23lnxDGhH5kLSdPqxy9kfx4+ABkcdUf2s
CCyBMafvztBH5tGo501jFRM55eOAYQvaitg11HelLVjMawF/OGmvVLTEZnXeZKh7mVtPpsVynw9B
2zqrqiRywPzBqCe6xvUYZA9WV1rXrqDsFc4HIDxu9ZEo0R9T0nP8kMCLjoMZ6H7i25liWIkRNGXg
/CzHrm9QTJ5bRFYpNi3xPH3wZv68FhMffIKGY4AmOe6PQtcdehr1w09lUmWgVxGUofwc20bGlHh/
AfwxCTScDMtx2pZI0/rHAc2KCmwPbbP+iXhGz+CitVTkz9KaDZQBmspH2hn0KEykD657hLJlDngR
D2hjT2DRa7OOw1ZsUGZqe8/4QXfAsqFzBR54jHUQtikez5aDgnp5YJkUwQM6LzCdN13f9xHnEaRJ
5C21hAm1ZHhii/iB/mwe7Rz4V7QDgatAyv1glMLj5ckNBuAlePG4yP0pTuIlU9tXY9/8SMMMaO4K
JW2xfBowZOD9LLOZzHIfDe3gXxpOnDE/hhpjc4OyKm4+eMAUbjL/5F1W+bM/aCQV2x+EUyqjFh2/
59cA7MYt0cVTY+J/Ba/JqXItq6DgpUv8YXg7dS98tmFcvfEAWUEM1iHaQH2dC9qzKsNrMk6hvtFM
IoVYcT7BAm2Dr7JDkEcUxe/yne126JivunTK1KfWd3PaodNoYXfh4CuyfGJCRx4tHtwj73v0yblH
hHcixEMt9CC/ogPe5gjU+6pc7hfhBPJW9p0vPw85fzKt0AhkTaxSqJ68M5vDEZdG0iAr5nWOQTdB
JcbciodpcHPF7ATBEL/GmnvKbT7pWzjjoP7gB0PFaRrgiLgWU1Cxmc0dnhJiPfTgweZtnkRc2sgm
PGJWC3rvXM0AreNfwg7Mum9dmHnyELuyyy5KF/7jfkLquD5LwSGOp6MaFXNJhRyLZ91Ns+azUA4p
m6UZC71n4r+OEizK/50Y0D3HrAs/iV8P4OVonE+0C83IzzcmtR0G1DNrph9W6zpgllVgGtUWn2+f
/0Apm6ldDi2GEX9/R9fC7N86GbX2dM2Ua/BHcNLFYwxGJ5u5tGoRrDzFkJ1nSl5HFdnZiZHzwnbk
A9Mk8LCoy36ku2Kl2KtXW8cIyNrmFqYzvGPaCzweoUtPlyYS7FpOQb1g2KLYm1efa7Tbg2CH5ZCe
Li3lHdaUrKOIWZPYCBvMa0eZfCE8ECsOdiIRReicGq7K0OmslGQMGyUhbyIEiaZPfBOWps+YoJSM
6MIJZpUS5mCyUOcMN7mlHH43I1ivHyKPWl9ddE4s62TbGL1+74EtiQLbfkEzAFs3O9bzt0dIgp/o
TQEqOI0G6fIt1FRdlgLs1pCfqLvCcUYzphHcEiaZ+kLTSKku37hRipDoGtA3S3AOEepqNs7i++5B
+qHD7eVVFuq8jYZXkV0OCFB5X9HW5Qeg7nPAbeVupMe4kxUjOKppZDgXhO35ppIU0D3kAgOPYJeY
vp6iOrWWt21Y8+/OwtsJq5tcEBtIHWGCbt0pY53P/bzo4JEiy/GQd06vl7Qb6S/tTVhR1AUH8kaI
163lyNsAS2hGAVsMfZSViqJFdUEp1OILu36A2L/GRGHUsxoDlF5saE0tlndQIYQkJIfMW3AiWSQ3
VugGOjKlJQKVO980djAtk9bZiWJOXFCj6UIRI5G0rj5586yY/uEAwAnDL7z35pqtb2qwhvM8WfSr
1BQwlgF25U521Viw5gdU9Ef9hmuYLVgRA/sbpHFCP5LK1gp1CdFQ+ispQE1nBfBp7jE2Bt5NB8yu
8R7qwaJ6CPEmp0V5E1Vd7NaXzdBEKEL7Zubi/0cgJtxshZPkMxzYdoTDgjKeHyq5QktGpIfYyUcv
gd1bEGb9n8tE6TPVwXbmmVHYLhaKP3An0hQrrwZR6eBSqGjQkwcDUT0TxTR37a6Y4VThjAVkjjlE
/7orkjO8IhZ+19ly7FGN8hxC5dDRZ4e+TF0MErqCuT52l8Pk24TcHKM73hJkLJu9oJmrie9COE1H
wZHBZ+ZSA4qF3JminfgkR5iO34k+1nGpMGWlrmG664wwdceE8NS61NinM5EaRAfJKLIWLJvWLriF
Djny5oS3383eWYgQhXsIy2HhxlG9Hrm0a0GrbneES7Yjehuw0jZV7NGv2YZuqTdZQGYd01H5sKeh
+4f9THyYw9Rwr5Q597CkCVGee2g71OjSLTJRCE3hQK2zFe17Mf+sQvqvF7/OIUR9PThT0zlNtMeN
LQRYlqQ5/dWTMQe5gJchdJkNLdk63rqwhLob9AF4eMy/SqK9RP6ROw5yiCNyhyxSwMLOx4V0Gjcx
uELIB71O6yqjDEaQcRuHibtgqsCd+w2KShjaGCGblkVphTF2gj7qKenPZWKyPo0kY+VixQ4JAJNR
5H8ubYQg880QFb1AuH2xZv87willTzNYlbcRnA6k0/u+y+jh1rhz7fxGju3PtmKPQcmhwpAo5k6d
dVO3Wfc9I+YuVLTqpnx0gdb2aHljK/QwLVY5XS0RThWaPYOaAlzmqaW2DUZFs2/gi8LMniYvlJd9
hycRBsaVWVnn6I5gchiHQlpwgJBQJ8irsFsoPtayd3HtxkhPJ6lLP80ocgRzaUertjdm8S2yrdG9
8UtUmIBjIyOhXcBLULDNqkXgyAI4MceJwFabnaxcB0s5LQtdu3Ix+11sLzDyFYtjXPmiuEBwymp3
FEYTBySYoZZbKP+4HVNhFMHpMCODvnJcmhNrMJARhq1+IoZog1CAdq4PAhs8qFcmBzCyYkOnd1rO
4giZw701Wam9i1tl1RhCBuWCY1TseMantmgq944GI2XiPajZue22UWMqdauEwnPYGERtfEY8fFju
BZz3cgWK2O/vlgD1EiBAwg/6do/NUrIovNTQzNlE1NeKfZwJSPwLLjK4ZEdF49jpOuiXAVtzq8rD
+jG1MSBWGyx55u4pyj2H3uMYIP6/omflCXowcd15SAkXplf6+xgRUf8SOSmjKPbSb0lr06cUpXmB
Q2wT0m5pNpaH2y0gI0c4KKP3Ng+Tf/qVfZt0RH3rM7ouDT2FCYQH21JbOXQu7kDdt627aeOpj2k1
mmZCjjLLwCMbi82JBdOrWeeaUNJzMqjeUVJvKxGBhMXdhTp97NnAWQ6p6+sIV1F7JpSgYRmjsw1V
iI6BfrB2Cs+WLjFISWnG4Th84aUVGMoNSmrAH/ZzEPCdoNwanf1RBNYnhyC38FGDti+rMtqPXZX5
X716qLkVq4U9H+0TQ1BraMFqECa9YSCzDwuE++y9a3tkwZNJ7mascX9riWV5SAF1OsPOIoaf5lSD
Z26lBXLBOUSuXZIS1YB7iCnVWJk8KHkJIkL4oVa9DohVabNHTyGIgwkDnUgwQG0NHrdch92kuNM+
SQOuPdLwaxD7cD3U5tYNKoR8GZSDmLU0eE3P/Q9RruNk4QYlH7FzK+KO6rgdrP4hglTCR6JYEm1s
Mfb+jwnzKSrMNt2Z86TJJduiaHEOck7rNtApSxoJPUYoF/vCeh6NAfXHzVRackSu1aqpG6yCNlaM
bQTNhuEnhs86RXop9/hDpXepXzuYazWMY9GYumLhR5O+e8uJDQayTcBbNfs5wzL2uUSjlcQ1ZF/h
DsbBwFr58PdIANug3j22sKWpD9Up39hUgqb0prDqOUSHCQsshgwhb6abV6nY+4ooJLWn19fIhmlZ
9xz/RnEbdjE6Ojsnr+k3414qA9yb6qSQ2EkvU27G0TdJpT8vDmnrJ9V04pKOytsFdiZPZS2tLj71
/Siz9KQ1a51UmAI1F7rD9qzPxKHfMVkq6nWUzrPJ7AOxwbWOLAXddJ3Ny6bte++AO90gw0/YsNlN
du7Hgcn9YGWq14HjgGlFk7Agybwt8RJhiXRVpwteCETwgVi6OlGzSo7GWWfpCebEI8yFfWcHJXl2
8rq7plImbJo41pGorh2nJQv0HegtByl8PR/jMgeQszYZgfw5XuiIzGv+XH+arKRfPk1lGLBdWin3
Za/TFGdHCqr+CLJmYzmtvtvX5VEIj/dS0rPgpfYDga86d5Qjk+8ynJKsP3hWUNDlqTrmAggszM5Z
Z27v6rlb1nZUX1STlaBbnpRDaOESJpCfI6mdGnCn69GQFdeql55HMFuZ6RoM1jM5ANyGI18SRFn/
IPsxcyrM58cWU1/Olq5z7k4WoDXcZGzmGdId+hCYtx4nNtNS+oUMbkR6ycGT9yxmb5nPnMnm/OQH
0azkXtlOVzzI1FIMCs1VnfkMiSnJNYYm7HnaTEUFicGvE3G4gCuQOwUemtMXntUOPyWcWQBmwFFT
P+lydssn05CmuXZS2uLhRqZ9MuAa4bfOeIvdqDMaa2OyGH8QxfrQTTtNZ2Go/+hDfhD1OpFP2ob5
EQ9xwlsTFQXdZqNCY4nWWS+9mhwl8prlnlHXERewNGfeky4AyzPo8wPTyadfxRf18aJDZUtM9g9t
gGgAdP1AMfUPVmilHFUKXOx/vi69WpY6tSqNChEVxAGbcug2QspBT4x60mUxI3ZmPSWhEE31lekq
VXcMyKJP3F5kCAZysmiYIZvpAC++8P2CLv8yT3myj9NajddI3izDSTgqmFQhOEY4VChAuuQHAPBw
0tz59Nf5msgFkBrt867WmSh61UTxNe4j+tSIZlXBKu3gcxCkSPhHfz1QkLPLLYZn+hT4erAo40Xf
dLNgSIureOfPGpISLpx4XRkCzthwSDKZ/VNa17zSzBr1rY/I8ibVFkOPWIgteAItf9VSHOGDy8yM
mu1CByzBazRwnykGwDj4UWTDQmcgderiwWmUPqHPr5ED5yGd6FZWoWfl+1Wjf6gZIdKMhjgNnQBp
76OSIT1ZhNCicvqhYqHPmdr3HMq2gUdLGa0G3BV4pe9f8rhySJkKBV0PGV3Xgi12XNOd2xo2t/DF
D8+fdPfmdWqU4KfYuv7TS6GmQY6LIIdN8fyYmGajm7pIqhM/MjfW8anxXQcJTkWwZh68f62XauDv
tWqLMnUAoQgVfZyt/uhKgWJDybMsnB/KqZBjPRtTjbZYe1iWsAzp3OPRgxBeQ9AY0SUEjzvKsgsh
cQpcKi+pQujORsSRV8ee18j8q/dR94k+ItSBN7AnBH438dP7t//HW4EHD98FbXCUXSzb1L//jbav
+hhxY5j0DyKzFPfBBqWPhWyuHKHev9Qfcw6RE3zEYGKCFXXD49IxaRT9dhKohygFyjsf4hk523tr
CfQS8eMEr4oPHu64hYIaAZxPILtc00M444jMQ9PbCRN6BQ8tqD++XSgW26cxI7J/TmxAD/Mmjsj3
SSZmfn4q7cDsr4h2AOPef/bjYaZr6qHro7uqLDeYRW+HecK7UYKucr5Tk+DoiDIWVaoQDy4i4PtX
Oh5l8MkmT4vvPFejOHbUcytIDOHH5Nb3sW6C4kK0pd6gspyT2kGiCshe+/4F33KLaNDA7KHsTJPX
o8NH+ejto4k8XAgmc/8d5JGuJ8NY0WGOoDjzXuO+K5GoSzPUwKJ1UGA8Om/fv4EX9tLvK5BUC7VM
ZG2CIPwHEh2nxLS02qD+jkLznNTIBiDmsKXqkUb5/jVtkX2qU2MUNXT8/lUUN7Cd4XhR+dg2pifT
6+BUuadLPJT+4ZZSXI0cTgtLGdZsCQPaE+GwCR1hhJCZrEIQrYPJ05ulRKBbNps0NrVXEWoOuv4K
donikTX1aoI7V1Ci24Yk87Y4yWgtY1XZFIbOrYBq6LTL0OK3lJGzTm/nfpuR2wQwEvn6Fn1zbit4
LdAPpPZEzaKwddKUh2h5sb3alk6W4xxHLKo2AwwAymNJ3lOZtKVCBvAsrQvKsu8P/x8TLkA8HApb
AD0X8v/x1B45WaRYbM7fmrRzyFkR7NRHIHBzOgP4VbJ+/5J6tbx54YRa5Bvo0cCeDINjpig9J+gi
Qzh9ixJf1xhBB/nFhZZMKYxLczC5g5VbRiOHKGXFOik0SlS5P2oUHT+5g3yESeTUMFzW3DE/FkJi
PfEu029FQ/nzFFiOqO7sYrL7c3sQH7grHEcQh+RMWzkAEsPd1D2mavqWicx2OwzfZYeC4j3+RHpa
5HmrM6v3h9c+WtJ8O9pJWvkqoPPmOOZRdqCVvsqylvYdWClsg2PKlwLrd8qonHSzfGJ3gAOyVPwn
oGDDvFQQHO9JhT3UPVvKupRgOPLo/n07YRJHHWFxdaKeJZxQ8AZkVaRNnuqyljJ0GSAUqI2mJzL0
dZm4qOiO3ErIKjycUXjsRUli6E4RRAkdrzkQFKo7MQziaLmrGzNxL94fhKPxZgwQBkJPDco5vjp/
NII9LxFR5SMAOFbAAQuel1ZFscJ6iZPz+5dyjuazfqcEL9wtcdGhrn88n6empaZqufEtFLiXa40e
pdNCdjrVHwn1hKDX3nsJSIdRqFWtq6S/fuolPIyMA4LJ4HpuoOuZnAVbIp1dIe0+nRhFPhoLajuY
5tHBaqti2iOOzYFpC9WP43GGcDHHkl+NP7pFuolkIBnN2llCc+F3sqn0C1+8nKsYL5344LU0IS0q
oJgCe6l+k7lF1jKtAkngbzZAmHRh+VcLjRXJ3IVfoQ/PMXJJfOFs4fTcfLDfhm9fH2wTyBK2qbXy
PPZCZM/e7kodTwDZoo1/ltIJvuY9/r47m/bowS/C1qXGn4pd4qrobA6zMt60Ln6ZlV2U9xJ5dFz3
wLXRNE2cVWTM2qsxFd1dzPl1+IR8o0yRgJD2IYvy64pW20/ZukO78nuUgtf0cvwr6cXNWYry4gU7
UrpoLXBYYMaQO18W+sjyNO4B36G0DJsBDX6vuDcWQ3A4wFBxWg9R/8llV0LxHWXii2Du5Ua0c7el
J17ep0AT0AO16RLk2n2HTWSihSes8js4APCK6kUmdulMa+O0fXBrsz8/tCl411Xc+ykljGQY9nZe
17dT4Iz3meOAsQxNAximQd3uWzFGCGsbbX8Dqn8gLYrHQ67GfEebYG7XNf0iBRMwyozV6FbytKyb
rZgiScEmzfMvY+jDxwxjXA7F1De3Sz5SEnMtA6asYbhrBDiuXTGbP+xZDN9xgXPxh/NQZFF+dVYE
Q7bFqDv7wO3ijwlB+qXRaWQq9IP+SNNHb4iawu2rx66uOc85ZYv1T+Vgaf1B9HzBJfx7d2LqcZ6y
bfrxaJ+wTx2frZRdFbYErvJoTQ1TyXlRoUOhBV8/XAaCz7VdxZ+zITZwiCy9qN04ss3Kvcw8GJAI
ekMTzoR/1ft9dFobXXDHNjSQPoyluK8q9nRb1BUyScJyr3EaqZ/BVIbnNVXLawm98kuUc3xbWY1l
AlgtkiunQgV3ZQSVT1GjoEVlTRH1pj6aH/MGIce8G/udlXjmg6kEyrCcq/6jFOFlRF5GnzTNhX9+
DGWCh1UEnZfUj6wVEOd2XGPcWzZwC/3e9O/ej6Zvg+nrxQJAijrFIn927LcrP15c0uo+qh9RLajA
Zynz1qqpba+qqriQrqNt7ZHou6Y9i4X7+9c+AuFxcZ0GkAYxARDtsY9TAssIBuWG8/LojnqWpZmT
7qF8lAe1qAeo2+U3x4jUZkTTDE4aerEHFy5KvXn/Njwd3d5MQTj++lQHGBDgGNqfb8fAghlG+yAN
HpORxgHltL5YKa3BtcFjcBEb6VbqEFQC+fHMaCu6PU11aKhbXWAQIoHuBolxtViJe3Dg5tGfiMFZ
Z9qZpC+Mi2yug/PZmfe1Uzm31EDLq8ZgdmL33ql5vQhF2yVvhngdtLC2SRuBME9u9jz7eXbpBBAN
CyrFhwx+0BU6mzDVmngYf8xlOt6Znl1cG3XIBuEra9o5tpgAdvdZcjvhl5yv0w71f0h+FvxrkdAC
wPEhpxHCnnjjekZ4nqWz+8Wiqh3D9i089cH6fgtL4hUztkiRctz3Oc0Gx0J3wJ5pryE3jKC7610a
mMjct5kzo8GLezpcVw3df/91Hsl8vVyS3IAjjoWqpYbGHb1O0y77iq3zKW9z95SyGQj4eJyNMwqV
+Y5GhCDS40bz2DpmeZ8lSpxnWWReGzJydh/cyz9MLTJRML1AsmyMg442Vsem11aoqXjCIA8SQAQn
8gc4gpm+FAbmZO3B4zJoKcXa+DGjtQYx15ftR8JO/zQkoQa5ssDDyOX0+XZIwOIMOLIG5VNc+fOI
4Bk8Qh+qZ3melb7YmVAhbru+Hnezn8bbNorVtzTscc5NsYK9/WBM/mFKQKGjesnkBBh3rJe3VCPM
WJTqn5LA9G863xo+Q9ozoBOyjbHFjJdj2YnT1q2rk1I51oWoAzoYQSnUpwy7ISCv9STPYZs5z2Cz
O28V4hZw8/5dvoiDvg0KHBIIvjYWoGCoj2Gc/VR50Kt5SYmiNUTFBc5HA09PbroKhn9n2gW1qapB
VwmZcdgF0D09xivBjxaXEhRyGqiWm77xg6+ZKKUu2tP8qI0hvSj8bDh0jqMu/TFNThIogS6cZM2S
GxAOhcHRmtW46q2wWYfoqLd7gwm9ywthXGAbL/nAFBjnL69xRmMAkTAIubtkIu+CqJMV5xUNes4C
TiXhondlDRhoyum+066+9yRFBbLI4UbYqj5Jq9LpUcUH6EQModGndd2GT06U1TTLgXjCfVF0BIVf
lskaRe/2YkJED03+rEU2lvFrLPQlgqnfm8iDfxF9k30d60k8u5kNQ2rAgOqjkqX1x7YV+CA4PZY4
mGkOlUcTGmOtuYo6d3yi6t0ld1oOclhTSZxXI54caF/Kgp7SsMCjCXuveU4hFhWrBXfgae8EzXDv
RWVybgZTcWf37kiHhF0Axfe+ZDEkebB2O9q9r5Hp/3kWt+/zLDxyu99W3x88i/VDmT03fZ294Vq8
/q2/uRaW+xcWbij7vRQoESv8m2sBptT9y9VnFsoLcDFQ+v0/soVr/2WivKDLbEhlUtxmmvwiWzj2
Xx7BkOMdukUO1Zj/yND1KMAi/Mmy03QCaraUhm1XFz9+KwyjFdu02Jepy3pyoq2cNF+ocXJSpiKY
5LVvePNpriSZnGkW4ptoXHmHfKvqVkNUd19+G71/Ije8rUi83A2lFnJHaCRsvj4j8vvdkCRpNYOR
daANQBI0VyCPBY1PLidFQyYwueO3QLawuPoq1I4x+Yu9+jIE7jqMgvoxEgISLJnwuLHL0rqjwAdD
F+x8/ASiGB2R9+/4JQ34d7R9vWMSL61Z57EzHGeCro7rWMOJS4dMDEVOEBx3kowNLFswN1DGZ2XB
2w/iEPcr9onVXJjOvpI9vLYeVPNjqoYBDwwDd7NBZI1ciSrlOBH0XgGTleLJJ45pp9UQ4Z0XmGZ0
P6Tdi2+72gJF8C+Q35XV/v2n+vM1UHkzCdtU1UFkH+c+wWwkWO2Uw2UtcKBpEvovK5rZTI22hkRP
Oz+6aWOr/Pr+Zd8W2sA2Q6qhzueQKdK0Qozu7dv3TJW47ZDUly9OdlaRjlg4Ie8Uxun9+1d6G4Vf
rxSZpG/0J+DhaQX+3+cZ/PV56fq0uQwRQX/A2wN7KkT/ZntVtOnW7EZ4o445s4vlAKGqjybN2+RK
X14fH6AeUAHxiQ5Hlw8CJ0uTusoug67wHipwgg8FrgLl3luqYev3TQN3nFe/n8puwl6waIIngQPW
yRTN7rmilU8LmdS7WIPmqO6cvrWdTRrO81NrIKhjGksVrL0IMaoDnIJl/ChR/fNFUTgkbJCXYShJ
Debt8Jn+6NWeFxsX1hhXDyA9B6y7jEJgS0+GXCenE6iwH0kYtedq6VJQaa7CE8mSwbMIcA1Zz0jg
rUGdy6esd4JHST86+OAwSjGTu/h9acK6IHWEyaIP6Lqq+vYufQxNzD4VzkXudtriZINM2YJutXKi
HaIv47pXnXktSYpGwOJpsO6tek/Tud2Xbmuvi7KrPrcluBIyuCn5MuWQlueBUl3rde0dACNKppw+
gFnk6C5lwslRksqH+nJq0VHvDLzuk8SKcniusWZPyrQ6eL4oP9t58imZa0etyjHoLpEcuxU2NJuN
L5EEszKE1Dbs7QtAxinMz+nYht9ic3RPU9y5z5cE0PN6MlO3WjMc2YkB7g6hmJk+gwXIdLPk6ieV
RnEzmkaQriZt2BkP3XjixrZ926XWBMYsMCz8+NIi/kHzuNdmuZ3xfayCatO2g30CRLs9sVD4fcw4
KrLunaq4gSSjghVcOVSG4x51HcZhzxk5uuqmSoEp7rudZSlLbksgjMlaTujpoIpBZl7R3tiMbXSF
jVpibiw4bAe2GnuC55rrsnBQflWVmZ7Z4EJuPEd48FhzA6kbv0Lv1m/67WBiHLeTRZjsDKXMB2Bs
0/OQoO1FLUPgEVontkx2SuQNi2OatnMi/5e9M1mOG0mz7qu0/XukYR4WvYk5gkEGZ4rcwChRwgy4
Y3TH0/cBlfl3pqqr0mpfi1qolBRjABzfcO+5Q7hrmzjdlL0DrYn/lBxPtwXcOlYj1XiX50hLY3zu
DNQUJKi+jNdsfepq3/rFNnEHbd5NjAEwabYmBCyupH7nMAMDxewE6gwLHTf+3TBJVCtAoNAmtx+w
M217fu0mQwUVZAFkP0XzzUbp2lOvDv0wCPOmL/qqUCcYJPN+jFBzH6s2Y5SQ27i1zYCgslw7OKUH
vgMgbRJnFl8XKWhIvGKeh31ZTHLrF1NirlGFYCqmYfaD5lDoYEo3ODGinjq7d7iiphh667QeeBbu
fCPN48vIreMjeggFhCjLKbpqV5dZG1Fy8/CKwWBmPlgEKlhvBdcNGjhtPmbrNBqmeDeVAeFjHar5
YufVS/5SCBKeOHib8DxAAEvC29jppLvtQCWgEEuy8AeIjSAzN2ZjQzh3wyG88Yw4iU+1E/QIr9Y1
MohZHzqT0y3dCqYa1TbuRvLHo7ars50u/UofzK6rxNpDMputA+Xpcg/ROEOe57v2CyMOYFqsc0jo
4n+mATLBNDo+cvzYeVVF1dFpo77cFmnv388DcW67fImKukqntIMfQ2x42u9j+sf6gYexc8qT2S7Y
kvMKwEiVC6zJAnu7aKXEdF2Fmkvb4FZpN7GFdql1PK/cJLGTDJClCb5cZUG3kAlgDRELVBC4sgl5
AdXG0Uh0jxZa8kOSBYW/tgtUX5usyYCVDTGOemNqRXSbA9h212i+SdOqGKobVyYZrjuo+YnHy40C
sbUY4jdHUIEEwxaRm07wfWZjZQHyqLl8EmehuUEQX9biBttb3WhjhYYztG8smHaQzUIgO84jQkt7
uPFFBLOljmR/7Q01j6SkCwp+IAJq5+xiXJw1EXxlnZ7AYJVq103enF1Z2DIeXTzh78DYGLWGFhfv
DqlMQACqPxO3VQ2ocTYlmqpujSYFNQ0OmXIinm2VJ/n40CEX+Sra1DmMwQQzLSygmjKfj/l3vLJB
EFu3RHXOSjjuXbfkY1n9EjE1+Wg9GIprMtXw8+UAy5RNaGEdJLh4gQySoGfK5eLMc8zxQQkmjGhE
l/w3U5JvtkqnmhfWdBy6VzzBSIALiUvcVpyS7Sa0IrAGCIVj+zZvh6K4t0OwW0flsh27JmOYfyBe
YgPhi/uQxqaKX900MzGvzIf7GRt+sLz55aVPnE+8riWsDfoR7wLJKR/V4r3Ae1aM3DqiRLpEXkuw
ED5guLwn/B1nKpPg9CIZyi/rXwHq+5iyax6uQe+JbpWZg1Q7hVKAVK9RgqDgzwRz8Y44QFRkLXUy
s+RnmGTRKRyzLGSA7xVcF0tE5MR4DyluS6Cb0ysCvBLK3PyqEXWRP4Q8LfZdbVo3n5GlmL99iQEg
zexTEybRcBWnTTJuYF9KoOuBdvYC3lyxNgOpvxVl4d2qoTObgzT1WLwA3kq6QwUT4oeeo+UMYQWe
bugDCCTL2OV0O+FX0YsB/BiapUjQfbocc7qdUtBQfXcVVUXubTwbxD3HHkuwFWKH6LnNjTHZlnbN
bTIjQ4uObt1Y8juZWUSqhhaX1HZaTmzIFgafqBphy/KQmeSV1Q42Ar+o7EeetM64RN/J/I3ErOjR
wCBjneaob62PvgPmiErLCsZjNtn8U6qyUtLfp8RPFqwaCx1S9nwGZOPYXysdlA/5iAwoDLoDc9jR
O8x4MQYgcVY37wVCtua69pV7NnqCeLZkyVXjVYLMGDOW11XpI5VI9wGch2OEo7MbcU93U8cobgwl
TwEtH8pEWtkXq5mdkEhLKjD9JBBwR/xjADe3KYrv5GTEYvqaJggP12XQ+cWRkaF1pzojnvftgEd7
m80DFykr7ty5VUU5ezeVDw11JcVo+sh8U3T8muqm2wKx4Fubwhp4UDtDXFqFXcemQTn4e8bSDtv9
jPqfl+qqJNjoWJvdGkmyL19Ig7Ue80/CCU86kq3LpOpu66i2OGBtEeW7ELTKtFLDa6JxZdorv7TK
e8+uYWNOrGndazdeTKgyZm/Gw50restElm+TxoGY2szpScENWpE6tzabbf+ITQGeZKaUkVwXrQGs
izUpZwbV2NBfl2XM62/RcO66NCzSDetw86jxIRDw7PsBifNxGvxcN/9nkvI3k5Slo6OL+P8w438Y
pdx8H9//Gpr2+4/8aY7CgIJF289Ziclw9vfQNORsfxmcIIhiQcMog3vRojX5Y3DiEaCGQsyEnIdG
zEMy9W9QKhjJ/9JeAPRefg0bKB7bqCt5QX/uIdPeZSzSCva2eJ+e0Rx7R+1YRrvy5tLc6BTh9kaJ
5kQDKq0Vp9G4ZULHPeSH5X6wO3n2KOrtL14K97MJyja9korCDKKsVN5mAJH47Izu+KUvqnbTJxpL
q9BAXaIxZDgq+rzfKB+bzX6YtHU/ENP5Wo/xeJlb6vT1krAMamGGSgzdrZ12WeUWh6DNiXJui3FA
zK/7vR/xElcixY62BpvoIqHRRKG6Wgf+LlVIuPE1WBgkGHubXzHVdcQe6aL4kIEhL1nijXQeFP+X
OG5oAiUx5+amEpUuVrnKiuDY6NaFIGkNSux5xvK3TucJ+zSEib6VYKP1MTFqL9+AZFTGKeQFErIa
z6w+GokS/M4mi+4uwnB7P+fFeJHlUt8wUt9MVMPJOu4aknqmNjhUUVnLde42c3LI6PJuW8CybLrd
lgTba6ewn/A70H7Cd4zNppeH2MLvva9iO3GCfejVHARBm5mzuVF51dbmmqRKxR5rBn+47jUGQuJK
mwHnWyJTf52zfq6Zi2Uhwnb10gkipJz7kXD0VYsLgM24l8Wjuil+ltQwA6ivBXmw1U581t3DzyIc
ejQVOTY7Y0dG/VKoez/LdknF3J87Dm68kD+Le7MDU0mPlKJlkG43LhcOEUazyr2ZrmgRhBWVP5Xj
Cfvc0mZYv3cdbdfBZa1WqJbgFX5JfrYo6mfD0v9sX7yfzcznXfyfA+9vDjyawmVr/M8PvIdm6NP/
WgNHK7P6/c+snt9/9PeDLwh/g4VjBnDxsRL6NqfoH2GRDtgdn8Hykrf382/qpu3T//5/jvebDbdk
oXkgGiA06C/jYyarphcglrUICERl+W+cgoil/noKIr9hBoradZGROdY/aMiGzC5q8mabg8JSM6Fv
Bky9RnoR7dOazY9f29S1sOrCu4hn9biC+ZHdTD6SIcjrdLNkcVEWxJnz8rkUamBmPoydH79x7AAH
wCggDsE0ewfRLmUqpQvSNAMFZlDUhLDimfKrTc+l34HwRSdw5m5MbwqrYQkC2sM5DXBMCVeNsmRe
tVoTiVoMfkrYzyKp6KqB6grDh7srjM69pAvcuEhjd23gSTOYBBoOsw6N44GvACsmVgYb+ZpCBjQ2
2r+2MY3jVbVjaL90SKcJgdUCmzTrraKXfjUrXhSLt7j/zm8h87x1a1x38UA2/SoUkiVy4Jd6G2nP
OcKxZi+Fra/hVDEmNucmM+2tM5Nfi7yKIKLYU7egCqhmrTmLP2Z/MesX1tS9iNkI+Hd5ZS+u8LqX
egLnGhXoMGKVpZdpiOtH0YXNpe/aUV8pqRLAbwOiLRoYpGSrsioBOpoW3kcGDSK8oxLUW+kLPkjg
rnG1MkEFqJWbK7ISshlWcBKGtzFBT81KzS0qpDgK2OhFqAJ3QVh1PAiDI3H3YiGKR7dYybP0jI/d
O3R8fgjNJEHqfib3c5pO53SIbJDrI1MG2DbNg2XJ8A6pUnaTFykJ8qTeHiqLnI4qBiocI/I5speE
BFBm9GMsCS4FoW3Gw+xWeuvj+zu53TQR7FcMjG/QbXcHHiqYsgbQ2E6dya+ch/K1HRr7RZjaddY4
kzwE/Qm5Fmj5IY/3jAlWaJ6jO8U8YgVuM3qwUSjcEeCpki2ePMB8kE3f7JghPoQpw7PxrhvTezgX
4brorOiMxYSwD+ZIyclVeZ0dYjR083EYcH+QpzwYZzs2xmlNRwE6wVRhDRHQwR55pEPzJvalYrin
zPGKc+qo6FaEqCVXFk7Sp9rS7nUKz23CHlO6cN3w0ZH/s/axnjj7BONlFK+MPMe5uDL4IDCaYaYO
X+XImsHoo0mucbs5Md+PMY0QF51BTlu01+EuIevdHg5x0xr9qffFYB5LKXX2Ygvg0ydi5TxgUlw+
X4I4MR701HaMMOLroKKJyca+e0lldRNHTnIuhyqLvtF35aO9sp2qgeibVGZQbwLKgSdkfdkO9jwO
97mft+QEFDvT5489IoejnJPpOevtbGNEaXMNplFuO9Hf54MFgr4Uts+ml/0ZvVE6PfvYC/wDt7fx
WCdOvG/admbi5mFVXcOGELC9bMloSDFCxJWRfHg1r+GgzQyFzDiARde9UlfkAuTHZjC9jSaah6zI
c5938RFDUbeOQsjmE4ywbcDTc+v2aK6Ane8nwzU+vJmTpozbtaS3UqGVY3O0LSB+fXDTafXQz12y
IVphH/a592y1ZCLADQbdjKj8MoXmPRlb9mpsZ742Fj6bxJUJ4JWYWgJX4g6m4bpDt35l1qL7nuvg
xpzt+FW2xXQAclI+1P4YXvIRuIEuCBhwy268ZUTv7CT0c5KtUr13/fkmk7BIStfsMfZ15U5bhbVS
Bj9lFfCKs7ZtxKYI59cmDrw1SKbLLNprcu4gGdqkExVO0+5lXLe73DfM67aNp4vflSG5lOBuOW33
NUDzbRbreMfzitEekU5s9225pGNl63IcDei9RBdoaPPs95K3JrO7TQK6ga0jeAc7GhaDdNMydJfT
wUQL/LSo3bgwJmOftOoHjtZyr1OUAX07WY+jZcdvTuFRNUIMdY9+Dt11ZbCFOQ5+MxUHBzjrVS3R
GgBDY3soEjDUYijcUxgvumYDVd0glhgPaJKbfDHP9p6LlGH05+BGYzJAiACxId8i2ejvo07GzxHz
m63DDAdD4JDezCg6vtYN45zVTOn7RTAk3VnD2K5ggYY7hOnRvplH8SqoP1+iNjG2bCHqdTPVMxsv
u7nSkiB6fNXhncNfXKO+NC5IOZ6DRFYAiSI57BKUAdizY4uYD6ZP1slTeXImkCKMYJV7cl32GUTv
wnYIWJV+NmNiqwiR6In6HZkH3TgxLLy5ShVRN4KsgaCJw30gAnLd26TcwFUABm0M5GwKs3vhiqvl
JhsmcWU67T2IjeYO3JF5Q/AoWPSeT3oouQzcaWcqG6YGs4KDDRGc+a9rHAlLy787nVt9BxbDTDZ1
mBUDgpk8noO+PtWA5Zw1AA1vA+bBeoKCMd7jfAw/VAgSVkQyPMvYfjOi4QcuuuQLNCdFRBG1eed6
T9isjGvuqWJtOwXJohbn3Kxl/JS0LvP5/C32h2+hLb09ZnrImdgdGaXqL8QuRZu+bOxNELTvsgKf
NzrmET5gsW0tW3xPSCSBUmdADwqdHPYsJhvol9rF4BVbt2VH5EHRTcVdbeHsYhJxruZ22Fa9beqV
nRACgWmwncS2s6r5JtE90qSq+xjy9JHhKqUU9UU2O1AenLE8BFZOeg2DCbkC/9GfCk8uxYxkrOm2
3UrxlNumdZy9MyN+NGwfke0kzbfUBibeZGHwvbXa+2G0fsQV0ybm4evICF7r0jI30uvhYRdmcIp0
PJ8FS6RV4MjXJpnFbo6G01QX2DdTIcgqkcUmTEYHCbBmUD6Ko6cZluS+9ZRNujjj94wBqvjWzmq7
CF1xn66Fme/bsRSnplcPLhFXO2sm9KUcvfUA2uWjp/5c987QPMSAUdbYsvis48rRQH7rcev5Tb/S
NdsHNZCmDLD8W5zYXyzayFcT+tsFZly5JrXnTlo915X3rbIr68i8qtuKNBNXosbvByD9e1BNeJCs
jy4sJPhbXtLaqrvpEIqY9B5XuFtg7/lqDP10/xlNCYIj2aTllOPjNtTFroP4to2bU8uX3pTtPkvN
G5xN7toLBJeoFSa09MShtHiubjBAP5Ho7d/H2ED3YHDZIAZ23dwP6cDKuEN+NPq8OxjELo/0syE7
f8Mc/BnL+H4pNqVVX5qgT5geRlfQHH54WXKQdlWu8Nhc4qm7zGW2QrzerduORZWo3vC71qu5U49T
N9wKq7+wprqmWsvW/MOa+56eH8pFQQ04JGudc5t7YYnqy3Myj/ku+MZznRMD4VcEr6R+C3cEwyG2
i2q+BbpU/BRi/6fx+5vGD29liHDhnzd+1++tLt/rjz+3fL//0B8tH5Mq1upgqkzXRAnxp1lXEP3m
4oiCZIyKANkF3eAfPV/0W8BYC++tS9QGbk/mVX9MvoLfQmQVeCSBdKLW5K/+jZ5vmWv9aa3Or8cE
xRDNjIjhQmO/KPD/pBiqzSFvK2CIhyCBJE2mgQtQQiX6qbK4xZOExPI/fTz/hypo+Qd/+YVM9BbR
Ja8cE82y5//TL0T4kPbG7ANPVnl7xzhkXMO/z/5G87JoFn75LTRTS0PswWD+B0l37yG/k16qDnjO
sv1kK3lXNC1nVuCKLUChcmV1LSlNMjfuu4kEj3/9JjFR/sMLsBZRKeyPECYlKqi/vk06ghBaVdAf
mtJnsaYmsmnAYZoHICDhWdlpe1K5IjSCRCKioEXswLlqRWZwAjB8fWgYeSYrHuf6ukN/ARfegjkT
zhMJXpTmdHhgnyo6BWPZTomcLB0vhp27Rveif8heF/dOHpIfBOLjkLoewHOsyKeKHvNLnEm9j+H5
L5UTMyVmc4tLi7HofDClsh4REYmbljSLR1uN6pYjPz5Nfifew6rKeFoTD/YjXdJ2xrocn8uBIJgu
V/U5tqi+2pgwAVJI7PqMr7J5w+wlXq3E5AcnlUVnYOj21qK4v49G1Ox4pAQrMD4qVBUJEkv63pDJ
8Z4nL2/TDDqbrKHM5lmrw02gSNvw5FyfMXkuQT2JTQBAkLV3ZMI6lNfBhDeiD8JV56fz9ewoejSz
Ils9zojAGmx511V9fJqHQO19adGT9DMvBx/Vc25WhPjks//At0MaTQcEu7aBdw++kt80Ju81BAiu
oanWQITj5nUAgShYrNTmwZ8i7iG4OSAv6ujsW0Z2kJKME3x3+gmnp37SZtu9+MTNnQEVk8WR9NYj
0qTuJe+n+qyaJjpXVcgnEuXSJZG1miiAfZhUK3DeVB8iLqEijPYWKHJxT2DNgihLGF3aTfuN7QY1
Y4Gxcg0qiaGpoRgD1O4gv5FFrp9Co9d7PxvKYxPy5eqA/QnmIPZ1nVO39dak5j8yUghX/bzkHLmG
2htWXNwnEysdP0zljWvSQJRQF74XpibivSdEqSpNk0PDat4yJcfnOGrm60gSHCMc2hNRIZSzFO+Y
GAxxEwOPWpMU5l1QjYxrN+K9wIuMVkh5qvVYFFyKIyPw78AT9NJsuZfE5Zv4DMcBmKg3yGpc9s5i
4HMtEvEelJHHPjzOce0qA/x2k8bxPSlV8hu40PmawBv9ZE9kidSgkTZlK4udUdT9BzIV6zFzs2mT
JuW8sww+W7Rq5mEhzeFC5hItazV+X8ILdnOh0V3ImW+CfAK6Lovrn6k7SdRJEJ/KrnidjG4gIqut
Lkn4A2SIiQbHqLDtIbSwj2nnvZm2ll/gDw7PCQSBJVuoIIHObEBQu+UbsL/xe+8CCRO5x0Wp7HGt
Ur4oPzD6XSxdcYHR5F6ifvIuJAVaj3XWideBmusNFMeSnVTMO1qJ5s2pPH2VO4b3oEIdCkYGIRKH
emreE5aX9RrbAwIANmXseXlz7ITLY9d0xr2C9sASIsvn6ynUDKE6o7jXTU8/PrIJWFvoUk6qZOXg
T2Z26IFtWUAOVbb3VNZ+EyWgBa7ago5FE7f0BQE4OQEmwMOtD37lpvftJLRfwiKyCv91bNBmf8va
wX3NrLoqksPozLV7IHLNqJmdmKzkaaFi7zQlzuDeO4XWK+kq/WSBSl03SNahEC0kQilnf8d16Jmr
ngVPvejEOZqG+gaMH6EFXGEnl+yN3uyMOyBG94Y33LisNXjvgXc3t6QXeYFybloveYi9+KbCH7Ik
8yYHSFTpEYfhU8dUdzuU8UB2r/6ahdWwdcfho0jt6mjUyTc9uOkxnX3UIdYgzk01TsimRrWG69J/
4HuQ2yTrrlQv4105tdZJzfCYLDbtrHG9ZJOIJLtxZ1dfG5EYQZrP8cnPw5NRCDq2kgC6FXYIeQT4
V25sEpfW0kQzUmXF2KyqsvwBPKOHicYIZD90roapUt/rOsi2SNGiK7iogg40n3Z+yg0r88q6ynSs
tkMUJsdZ80Wi5zOPZm2Mhypo9JrNc4gCgvh04YTclhBx96kZLIkalXlFzFt0GBLrgSlutPPdoDsT
xOOUW5vP/htwr4nRm4yQqVQz3+EqYR9/sEUG8sWa3uombs+QiGAy2uZwTEhLoYHDDc4jzJfsmbtv
JIMMZM0nPPN4gIe7MeUxl9qq3+Y4uO+ZpFsriEAkeo5DqpBdGPkqCtVb6JFlPTmFuqqBwS+Y+OI1
MojpWfvK1/sIMuu0DnxB5KcX4j/CWkaF6Mg7qrNw5zJcCo6C85WVH4cIw6BCYEIT3FfXzF/E1UTb
CUbUtI+2Et0GCyZ3VYcyEBdG3XAF6t7yThgS1NM8OTlxUdUI7bI+TCWOQaM5Meub3wVk9SMSsvlR
5OyQ1lYX4TXzIjhjsb7NCmfejPGwBLDhevUBkXG50xKjW4SQ4CI2CTq3oDjQ1rBKsIisTBHuJHCl
rRGV82ryaMmY/+VfAp+UnNDU086Nl+EMOdU7mZaEqSTVXWkZPMszczpmGSbZlTuO5Jol0XMZJhYR
G1zxRGalx3BU8TaaYvcaKpSbsXUy7nGhhTcWEq+TxqADCtCLUpf5clt9dxN5k0KhOkeqR4vhTmQT
r0pGtpsKuMq1wMpzJDcwkCS9+u0VkeDO65AHml7Wm4J8ZU9ld5XqhJlrThDFd1FVVbkBMeorMozN
8QioggSVymj3g1V6r1M5ZNkGLlx+dvuk+1Y5uW9eW507zqjhajySrxGUpsOUAu9ZmQ3pMEtwULEL
Um/8SvJXg/xuWuoCIe+U6suNL0e8seFYZVeGKpceVwd5wOVXpUe4DO05kl3jIjhFLQFBj3A7hbSp
W7M48S7kNmYH2mbx1Wa6S8cnGIHy3ZirzxIJdDLPodKaD7nX1WdslR6Hs+g/wiyesH5ONhmtZtHx
wAGRp3/UZRluhDbieyD7yz1QUCYEMSbpTeKRGBakWfWZQHWZs8y4NxoheLs4GHdDkaFpRf7jEYiG
QG3j+kp8VWKYBYFFfEnWzNMZnhKRdp/Fl2S6+ZhbuvtgJZuDefaYJ67w2qJfUlrbW8pQ/0EVSDZW
S8FYb+2RhMQ8tUlUDPz6XLbzfHDZam6qZuIwbtGCoXOziexMvY6He1Q1xn2N0Og5s53kklRUGrXn
i5tk/nwVhDY6BnClVSzlcijPlf4BqoRZZBRQnkRSWrccg/WHI0BjAun1R57aI0dlsqyTKoLNNroT
ep9axvCcZibfnSUNUt/gsul9guvsCvMt738Yp81nsGBDsfWKTJ3kCb2Uv5HfvAa9Ko82Ga8rJ3Gt
x7BSBPBpDJDgr5ttnWcRst6J3TmBZMxUoK6Wx8KO5N3fNBG/2jnoGwLHDmka2Qw5OPN+6ZW8wXBE
yTT+oDAsrnWQiXwrq0jvGq24KjJyMmERBz9wEI+HDODpDpvKe5iLF+RpaLA8HlMG+yW0ulVzPba2
+zoKUV8zrSquTLZZb7bLnOxaJIxerto0DSEsW8XGdLN5lyk+yIqv8JBEmXcxrVRsW1VRJ5Tk//Dg
nne1Ii8Z+di0aeUwbZrlm2VDaNzDzfcfDC/QP9jqmx5ML5e8QjQNlJKuT70BkIGtCRcO0X/USjQp
1INJwX80w+KpV9BOuQM+ayRVz/Kuxj3Gdxkt5VJBIRVhi2Mak/kPrlOIra1i0hIBcZxzsGy70aLV
S8Z0fAZXxq4n8uzyjd1k4Z/I8wtGxpAQy16mDOGTobpebT1Cns31IJy4NA4OrF8S5T27Z4u44Q3V
9nMTu6QmSkcUxwC2W3IseJRs4nn5P2IKqXhjdiExQzEjNeRbHpXOFZgAQhtLRxH7NFFLtWZKDhgj
W95xUkekv3Lxk4mgKKECZRGhpCmuaGPMA10Pl3bodi/kvqInrS1v3XlG064r7KPXqqVgDkn8+arz
odi1GYPBYeSpZhbTfIjnnkIODPrw3GflW9BSt8/KEq/hVBKY2+pspJjns4uKKcxOMwLHNTe7cd/m
5Jxa3LB3hTNm+7ggMxn5GompvRc278wum3dXWzyT7dJGz6n4Pp0+bG/pAMIzsmYojhPNll+SW1lX
1JBKWc4Rh3rz1i81NXCfcp1WPSsyl0AQImvLaWDKmFTHtiP+KK8DB5ZrFtxVTjs8m9ZA3HltN+9e
12Z706WyFRZdCyHfM3dej8Dixc5p5KUsiVUM8O+sYlc17zBTw40DYifkz24frBuQgCN65IGoJGXx
l705EzZaKz6VaoaJSVVOOrNLslLKWSSFZBpiT9zqUJw5uoCTzjtPB8tq1ZZfJsKMz9ZEe0skXnRO
LNGeMg2M02devG85uPY1nhGArPX4HOIgWoF/zvbh0nnjTxY3FSuZAzEqdGZsDH6E3KUz4pMZjoNf
3Y4qIBh16GlzTC+5WLWLWHFCpoI+31vXQFXuPl+1ciOGB1CuuTCacvkOnInQzuVWVXSyPEhIuBY0
qW+eVMNOtRXy/Nyc7C3sSzrSpWnISFisN6ly5Z2JKndaNzmPgM8zUNQJli16bH1VgEXH79lO9NOO
z0e1NIPkV+irOfH1NYLI8Px5GdqK1pfLW5oHNRj6+jNW0+m0vPvstIkaIOVmWqysEOZBbNB9EI+e
HUqXB1mJie48xL63/mzLjMTgY3AlHQWDHj76ZYAyZ6HeFYJGfErTH/B09PXM7VYv+lceApNiBhEi
F96aS6ipFC7ZzxQeEfUhj8KBxMZbOYwMRYDVk1SIEfuoZt4RxCCi3JKZW7CJ2ELZCPMZuxSmt4ab
0mwBtNJGMjCZtnXFHZOoyrvYhe898KAharTzx+6lz5dU49kt5JfZcRlQeMhxviGJtnE89PqpJqYC
onhbHrF5L/W6y7FGJxUT3keHbIQ01iHidfJzSVeoV5VNky0Jet46xJ3vP/vmgGDUa1UwM6sbtmOG
aXw3zc9RfLDsnsuKh5TszGL389KEQ7gDGVoe0dDG9yZq77No7IJtghuew76TXxqL2YWFZVisSDyv
z1PlpJfRpcJdJ2bP4W4QUtaUUfOmkhaRh8mqH3jMvGsmYgJXyL7ab2bt8IUUxWBtO8pWdOKURXA2
o/NyPQNN4BjuUJVdlV3JJCjKAmqNouXHweaC5YY08pgu08ZJ5stTgML4zQq5JNx5YNdC0uY7DOnk
EgyCdh1N9RrcJIUXJ9Gq9Hk78TJ1+CwrQoxBuwTl1n01AdEGLcGJFFj24+ezweoZvaFXSy8BRz79
PsOr0fAIOoZyxKNiIiFVRnzCUhf249TqcR1V5En5DRWISxvCtD23Htm0o9Ue+CKxK5VHXZr1eXaG
+uzZFA/V8h2AixOvXTe1YJPnhqIIefyWPMoReSHlCbTe8Gw2pf1oVKzuYs6xL00XilciCZdoc479
z1EMvAT3GNqCJGSSRTe5YpDRcZoQ/Wh0xY5YNq6QRs2HoafIrLix91ghmD418M/W2hybt8846x4h
2TOiD0q0noLFAUyIVrsTcFuWi+fzmFUBnwYdu75qGzd5oZvSYqXtaqnjOkX33yInbGmWn8SiVDOg
duv1CFrnEpgcb+nIfVREDk8t8AHU1g7XGvLvezUxp7BLVWVH1nzyNImS4c1yVAIitsmrc4rLHNqI
fPwMl2VigM+VEc+HlFaVe7JlKlhjwbzGhm09OjIYvi/B8vuel75i1cWNm0UUf6JsxNeuaik5JNup
I8BzikeBZMaGNDeOHp/avNhx7DDlVoHNO9F5mlSh4yS/UJUQjj4ozbalNBvcMvbgoW8yYKOvJkk5
0TQxyhI2jptx4AvXYTFfFzajzM8/ft6YSPR4xEDrb795E89UwUPlWM8oGJVNlnKVsjRCZMMNnRGD
nQQehwzgoeTiimAmetHL5mvizKiEp0DvVFf8GNy58bdpR+PwOaALSPZ2bTqCaakCNOns40bY87Cn
geMdT8egzKfDELqvM/zpzbxMwHsa2e3gBfyyohnCUx/3zd/5CH9x6FGtWtCwAlLjPBiOQfSLhHZo
nAZTi+wPbsZweI1T0bsEfr/EZpNzrV2ONth+Ytsn6JgCaC7bvPOcw0xxkBCtdm/UZI53DnomKKPy
yzC47mXMbPXEkTDv/nVtbf2i9/18sSGhUUsIE5FRv75YZDFFMBpOdzAyx2S/XfsPWtCLmVaeXgxC
FCivl0LUYs/+WPTAuUxGGaeCmuc9F4xWP7/sf/2iPu3Ff91aOF5gL5yjkN3OP+xGkoErGWlbd0Aq
K7nQIifedOEgz/NkjPu2HdIN3fu8xY7DbCIeGLLlqM72Qbp0cu5Y3OcTF5VT+pwGsdd8gCgK7kI/
EVtOWQpDo23kSvbYCv/1K/8/OpUFTrF8+5CCsMD+su5obcj2wN76Q0IM/Ilo33KZ3FM9yly2d+Uy
fJ3ZgYOAoRbpNE+ReqrpC4fe+3338p9V5d+sKsGphHzs/3xVeaw/sve/ilN//5nfN5Wh+xuUmBBW
jcnmjNv4f8Wp4W+0oNwl3NwhG8w/bSpd67fAi/CqfyK0UEmz8PvfTSV7T/aKC3Mn+hSu/hubStf9
xcjucr9avAo/8hxyvliP/rJTs9EczkSOLCHVauPIsnz38jgm+TozbbhN82j/D3tn1tu2kkThvxLc
dxnclwHuBUaLbdmyvCVOnBdBkXXFnSKb+6+fj5KVWI7jJJcCxhiMXgJYTrvZrK6uqj51DhmFqBsY
ottIyF8p8sSgSeUCoAddL7IMwBvd3+LBzOXwsplV0Wdb8tDAXtE34sKg3AuHVTzLjsOoiT6HOjhQ
yZCVy9QtjazvFal6Qbec1Qx8L4Q1WtjoMbiGdWsiuHpDC1dxKRXzEJxaHwfo33Eep/cxiWJv0BRB
1ECgtK7mIshoQqbbnxaAngqf/LCy2+5hFaU6f7Q2Ev+L0/O5y1LT9tytwd9QcaQz2AfmKfozKDIv
VnUFDgxWo0Yb6qliaSO2GMIgKVhDGS0xTz1JiIKcfkX76gQCiMIaoTzkmv1eFBjqwO/Rw7oW1Ipi
8qBpLmqSX5W628oW5cIKi+hey1yuvgqA/edEkMl1vfZWc8Uh7QN2R80Z+FKRg8QzgA0OKtcq0a2p
4isdqRi7X1pVgtwtcf5JAHpqaqkIzmiB2hzTpkCJJh6bZomEe+LngyLK076hoaeluOaVnAhq9p4a
cm0VyH21Cq0rQ5fXY0jbs1u1LgXduwK++rJWSXTXZBMRNzpnekaHklc3+blFf+Rs3Ag5OSsQHoJU
daXb6MvoiTmxpFCJBmmvDu5AEea3Oe1BgPbksunnfiF/onlz9inrravxutRRgY/s3qRsFK8P2awB
uXitcYcJ9KZZyflH1KzWCY35YTopYcw9dyyr+JuLFeRSAAn1iNICrY2jo2C0TmzgxlFpJ5wo9Jxd
BL0qlWlfzv15UnvBaAUHh36yQkYBRWh6sz57HnLXrWhxwomdqKuryLIjmdvk2r1x1r76UVmF7rXd
6Pw1yB/SW9J2GKATRzuXFfQg+mBXnNOeSkW0X4MAVLIiOaWzBA5lmHYGBlrt91xcpGeqFNrLMi3N
9NgAmqf1ZZWiwAiCffvG9owGYsMM+YFP3ko1rhwNGTdwN2g/gG5q/IUGez3XkI5Cf7XUhFTVM6Rj
Qjl6z3v0P5SycK5M4NwXgsbWMzNVCnskx2XC1XCkDXsGKdsQc43fW2oiXa4QbRbDXsL3crzSLui1
yImjCSumVAZiF72SkF3+qeI2ghvSAEk7jeWpqKGtz6h6SvwTU/Glq7+yi9ozbgQqT1IwiSSpQvBF
EciDnIZlTmt/0RCX1mWh1meO7ninSWlcyZbHua+Z0EWolIZqZA1uufAyi5Go8uB+NrPrvhwgwzE0
c80WAy4H4kGEbMhtDhUikbIrZ8C8kJByIleaauuwmmSUeE7AGaBIRwYx4JITrDHCHyPotDFF9svN
TNDuSRNvEXyoZqUaTow8k7wrugSbwB5q6yaXbrVGlCH5JHVWfapQ1Dwt8/ROg3/8uudbXOYRmpc0
RBdn6NEYF5SB05Mw85VhgIoe2Miwvk64+R1TPEn6gAtWY674gusyBQgIbqoaaL7nHs9UOxiZa14k
ZBH9cEbBXE6cKbUPOKYyQL2ZOym8MzBSjKT2EpRNZujkuMq9MXN0JNiAgnpKP29h57Ilc0Fi9MpB
lQjtzuHeYjwTaTyQWZZj07bEpStp93a+Xg3LBroaLth7F14jz05Xrbeuc+ljJGdrFMSBzPr1QyqK
c/CBAfoN0jm05FkNitKXjiXhfKjUFqjmxXeWWZvj0FovUD0MRpWr3Eh1ag9nWXC3UtNLo/S8qyyJ
PmmA78FMnZtuLR2HUnxLzTzsh5UJ2E+i3iOVfjFUgDcgCF6trVPTkf1BbURUuAqRoA7vGBeJK4uz
VBXnmTdDd9C2ihNY87ShLGqugyBVlIam7Ttn6crUXB5v3dy3/DAXNlxZx0Yp9xXM6NzgbU+kVaog
dJVHNxLx/EkPOusTWE2wpjpupggxeTPsh44DVAjX10ld2zdqk9LmCOtkcO33KkC7dvpgxo505rsr
+byBl2rUE6UVDtZ6JbduNgFOYGF+7+FLXw1pOEECs9K5OoaVbUjbaz0NKHD3a6qnHxD3ygdkxWJK
QHqtp72ELeE7g7QoxDRM/XCQhkF4C5p5dq0rM62v5anX12OppiOsOEekuRySlTnzoJrNHSEl18ra
LK+Uyq7O3VSoNwb97LfojIQACo0zYYbUb3JMx+tJH+ktSPo0UtGb7FUz2ACYqeKbi7IqxI3Vs81B
Q5J2rNJ1fJxTSvrbELNo2pQjkTf5pMw0Nein3IJO8TG9iZe5JqwrdPDd6IETDBP0Uc4h31IHOjxc
Jwg2OAstCNhbdiwQDPXzG4wwmKL+FFx5NGn0jcgwR67RiKEsS1emRlE4I1sfh42qXgWWivBUXq8v
9VL+rBepMUro3b0NbV+h+mPCRIawIJ31ii9jGY5P9bSQ2kqeGR2DcUh7fVhdTiggcttUGDZyN2V9
GlluNTYyjkiU5YxxLyD83sbs/4+TfxInm0ZL/vrjMJmqZZzOH+KniL7t/9k1r0rweWkwGBKHwvej
tIQ/u+ZVyT6iKxXMHpH1NuLdIfqIkyllqC1DFxWhbQi9i5ONI0htAIsZJrzHJvTHv4Po25A5Pski
pbalwyRYN2kY0zVIH/fDZCl01iiIQi5hwUWDji2cZFadf0oLMAHpGSgn06XNiGqo453AaEjFZYLb
D8vRCglu3czYxrW2psPFnlm+ehH16O016DnJaDv3aF4IUlec5L6XVbMTH3/kuhPkbAsy0oafwjo8
o2fc1j5IOkUV7mBXeZhXzkQuAKY0PrGh2UNnl3MBc7ei8Ix8BGYDOs1aOcdkhmrmvRKlUOrHRsbt
6a2XNMCaUBKEbfDacqrcsS9dNxuVmU0PeT+0gCQMoLeAaTDIkWmp+1BezeiA1WMoUbZVjv+ZXfP4
IG1H9ijK3Ky+zpdpfbMUULmKXfbVfnsVu1H2nuvKf/JLrw/0brkZ9Pf34WZOmwm/NkSArEmWPyzp
jLTYOBbgWWAvmw87MYgjzrzN19TSddotKUgYlH/Y8U8W50eP//qTbdfx9d95berbhRk//PmHgsgH
s91zQ7/7+PAK2jCraS0+ePPhKZ8+vqkfGXwDFkbDHfDZ+r03tAo2PaYdF6G1AfDV1AYoPOw9vYnD
NWDnbz11++H7t2UDqo6qUsfH18wjDe9HU3Dr8vlQNHm6CrIiHemcSC335G6LvK1VeIGW83c3gmoe
KbpmwLoJnL39PPcDsn0EwQN4xJaAs/28NVOg31fb+qhF9a/VMv7qoX/DG+IOeEZOSxN05AurYMpH
BiBI6Ea3HQ1vyA+gcN8ycnTzhtKRZWMD4GW2n2dGYNI3odJQQUlyawPERW9rJ5A9tMT3nVZBgWCA
dhIiTWz8qSOwlCNaWSCFtR6t4791JC7iPMrakGTlxtHTIFtpm09+5eGfjfAkHrCPsG+uTlTKzu3n
2YFoE51DPkU5+vFAfHNHgoIw3fPs5He9oaYdWTgB4v9HZ4eh71mCfoSHQGYBd7n5vLmw4CV+od9d
BdVu+TSAhfCom8+zVZBl48gg3WqzpY2tbE/iN+QU0YFrCZx/ZUfMH0IwOq5AmGeR8ba/RcjyEYoH
aE/hW3ZP+dQW2BEq4SNOUfm6Sr/qFH9hqb5mHAPHDR42uYa7FC+lJD/6hV2s/f33j3H2Jph+wnuy
+cU29dj+7W+pyF97i7TJBZ58ucsNnv73xwf8/k+/OKndD0/dZTpPFw5asW1q9TjN6TwkYfl3MP8y
D+dPvR7vBS/1bSZ//rE3zyfv/ycDC//ZuG1hoPO4qYsExP7AFAEOMbA/j8Rc7EZqXyO8F2zCrlN+
lcb9x4np12322jK/UhvqPDIaDovMXeTs3+0StEsCjAK/1XVJhstgXs7T5W6kdmTo5g+w2Duf8y7+
+x2Lk4df9tnztwle1/kfU5Fz9/nkHmOlriOfLON0tT9lMqZWDrPryKesuOvuxtmYtwqv0+4HLxZH
fskGxw9zZ684SaW4hbd0nfA4gLqKO7TdSJspkzcewP5eQR503DbjuNx3TkBpyW66rsX5976Je/4D
7JdzZpYv/Ho3xc0it9n57gf/3C4mce6K7wAeNvF+97Ev5m605z1QqDrE8fJa93xHy7iYCzFfOLlY
ZtmeTT+m2l1N5MJdoH87389gttF796E5C0Sc7Vm2Qu2C5LD72EIAkHDX6z3fpMgQMB9m9DhPnw99
kInHUfYMvaTIgJG6T3q6/JLOn0VPgIuMgwz9Ix7UjtY9XZbvTufhWtBTvLcxSZ3aEmBXM2nHP1um
Ylnvxmo9FUVr+UCDXywrd7F3jDF4W/04xMzv49TfjfQ477bY3nnolo/xRZJHYKQtJPIwf2A495/v
fRUC3O7DXzru/oprWMsBhvUDIpL9rEZBJ+IA585lulw9LxJxndF9zlfLKBJ1UMyfqT09FiK7vsgb
J35YvhuL75hhIP48wIu8/SnbaEf3sv0D3xtiS2Z6gHjwPau/RIN2z3OpKg1R3d/s+yUQyt0w7eZ/
LKN0faUfsrmzN6wGPdnuB/88artbpiEn226gzYQ5ig/gCO9cMptn5q2CWDiA/X2cc+7AhLa/NR+v
s7ou9MelyN69OHkuMw9gfB9dQV+fcPciN9UwWuBy57nXMYW41W6gzdukbeynZ+ZLlaav19Xf1592
19Av/bf94lr7G4tgOU//+g8AAAD//w==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lumMod val="95000"/>
                </a:schemeClr>
              </a:solidFill>
            </a:defRPr>
          </a:pPr>
          <a:endParaRPr lang="en-US" sz="900" b="0" i="0" u="none" strike="noStrike" baseline="0">
            <a:solidFill>
              <a:schemeClr val="bg1">
                <a:lumMod val="95000"/>
              </a:scheme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chart" Target="../charts/chart1.xml"/><Relationship Id="rId26" Type="http://schemas.openxmlformats.org/officeDocument/2006/relationships/image" Target="../media/image20.png"/><Relationship Id="rId3" Type="http://schemas.openxmlformats.org/officeDocument/2006/relationships/image" Target="../media/image3.svg"/><Relationship Id="rId21" Type="http://schemas.openxmlformats.org/officeDocument/2006/relationships/chart" Target="../charts/chart4.xml"/><Relationship Id="rId7" Type="http://schemas.openxmlformats.org/officeDocument/2006/relationships/hyperlink" Target="#'Team Members'!A1"/><Relationship Id="rId12" Type="http://schemas.openxmlformats.org/officeDocument/2006/relationships/image" Target="../media/image10.png"/><Relationship Id="rId17" Type="http://schemas.openxmlformats.org/officeDocument/2006/relationships/image" Target="../media/image15.svg"/><Relationship Id="rId25" Type="http://schemas.openxmlformats.org/officeDocument/2006/relationships/image" Target="../media/image19.svg"/><Relationship Id="rId2" Type="http://schemas.openxmlformats.org/officeDocument/2006/relationships/image" Target="../media/image2.png"/><Relationship Id="rId16" Type="http://schemas.openxmlformats.org/officeDocument/2006/relationships/image" Target="../media/image14.png"/><Relationship Id="rId20" Type="http://schemas.openxmlformats.org/officeDocument/2006/relationships/chart" Target="../charts/chart3.xml"/><Relationship Id="rId1" Type="http://schemas.openxmlformats.org/officeDocument/2006/relationships/hyperlink" Target="#Ranking!A1"/><Relationship Id="rId6" Type="http://schemas.openxmlformats.org/officeDocument/2006/relationships/image" Target="../media/image5.svg"/><Relationship Id="rId11" Type="http://schemas.openxmlformats.org/officeDocument/2006/relationships/image" Target="../media/image9.svg"/><Relationship Id="rId24" Type="http://schemas.openxmlformats.org/officeDocument/2006/relationships/image" Target="../media/image18.png"/><Relationship Id="rId5" Type="http://schemas.openxmlformats.org/officeDocument/2006/relationships/image" Target="../media/image4.png"/><Relationship Id="rId15" Type="http://schemas.openxmlformats.org/officeDocument/2006/relationships/image" Target="../media/image13.svg"/><Relationship Id="rId23" Type="http://schemas.openxmlformats.org/officeDocument/2006/relationships/image" Target="../media/image17.svg"/><Relationship Id="rId10" Type="http://schemas.openxmlformats.org/officeDocument/2006/relationships/image" Target="../media/image8.png"/><Relationship Id="rId19" Type="http://schemas.openxmlformats.org/officeDocument/2006/relationships/chart" Target="../charts/chart2.xml"/><Relationship Id="rId4" Type="http://schemas.openxmlformats.org/officeDocument/2006/relationships/hyperlink" Target="#'Data Sources'!A1"/><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16.png"/><Relationship Id="rId27" Type="http://schemas.openxmlformats.org/officeDocument/2006/relationships/image" Target="../media/image21.sv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microsoft.com/office/2014/relationships/chartEx" Target="../charts/chartEx2.xml"/><Relationship Id="rId5" Type="http://schemas.openxmlformats.org/officeDocument/2006/relationships/image" Target="../media/image23.svg"/><Relationship Id="rId4" Type="http://schemas.openxmlformats.org/officeDocument/2006/relationships/image" Target="../media/image22.png"/></Relationships>
</file>

<file path=xl/drawings/_rels/drawing5.xml.rels><?xml version="1.0" encoding="UTF-8" standalone="yes"?>
<Relationships xmlns="http://schemas.openxmlformats.org/package/2006/relationships"><Relationship Id="rId8" Type="http://schemas.openxmlformats.org/officeDocument/2006/relationships/hyperlink" Target="mailto:sarthakraj@umass.edu?subject=Hello" TargetMode="External"/><Relationship Id="rId3" Type="http://schemas.openxmlformats.org/officeDocument/2006/relationships/hyperlink" Target="https://www.linkedin.com/in/sai-nikitha-kommepalli/" TargetMode="External"/><Relationship Id="rId7" Type="http://schemas.openxmlformats.org/officeDocument/2006/relationships/hyperlink" Target="mailto:skommepalli@umass.edu?subject=Hello" TargetMode="External"/><Relationship Id="rId12" Type="http://schemas.openxmlformats.org/officeDocument/2006/relationships/image" Target="../media/image25.svg"/><Relationship Id="rId2" Type="http://schemas.openxmlformats.org/officeDocument/2006/relationships/hyperlink" Target="https://www.linkedin.com/in/bagdat-koilybayev-a20b8424/" TargetMode="External"/><Relationship Id="rId1" Type="http://schemas.openxmlformats.org/officeDocument/2006/relationships/hyperlink" Target="https://www.linkedin.com/in/amandbindal/" TargetMode="External"/><Relationship Id="rId6" Type="http://schemas.openxmlformats.org/officeDocument/2006/relationships/hyperlink" Target="mailto:bkoilybayev@umass.edu?subject=Hello" TargetMode="External"/><Relationship Id="rId11" Type="http://schemas.openxmlformats.org/officeDocument/2006/relationships/image" Target="../media/image24.png"/><Relationship Id="rId5" Type="http://schemas.openxmlformats.org/officeDocument/2006/relationships/hyperlink" Target="mailto:abindal@umass.edu?subject=Hello" TargetMode="External"/><Relationship Id="rId10" Type="http://schemas.openxmlformats.org/officeDocument/2006/relationships/image" Target="../media/image23.svg"/><Relationship Id="rId4" Type="http://schemas.openxmlformats.org/officeDocument/2006/relationships/hyperlink" Target="https://www.linkedin.com/in/sarthak-raj/" TargetMode="External"/><Relationship Id="rId9" Type="http://schemas.openxmlformats.org/officeDocument/2006/relationships/image" Target="../media/image22.png"/></Relationships>
</file>

<file path=xl/drawings/_rels/drawing6.xml.rels><?xml version="1.0" encoding="UTF-8" standalone="yes"?>
<Relationships xmlns="http://schemas.openxmlformats.org/package/2006/relationships"><Relationship Id="rId8" Type="http://schemas.openxmlformats.org/officeDocument/2006/relationships/hyperlink" Target="https://taxfoundation.org/data/all/state/state-local-tax-collections/" TargetMode="External"/><Relationship Id="rId3" Type="http://schemas.openxmlformats.org/officeDocument/2006/relationships/hyperlink" Target="https://usafacts.org/articles/which-states-have-the-best-and-worst-air-quality/" TargetMode="External"/><Relationship Id="rId7" Type="http://schemas.openxmlformats.org/officeDocument/2006/relationships/hyperlink" Target="https://www.erieri.com/cost-of-living/united-states" TargetMode="External"/><Relationship Id="rId12" Type="http://schemas.openxmlformats.org/officeDocument/2006/relationships/image" Target="../media/image25.svg"/><Relationship Id="rId2" Type="http://schemas.openxmlformats.org/officeDocument/2006/relationships/hyperlink" Target="https://www.census.gov/data/tables/time-series/demo/popest/2020s-state-total.html" TargetMode="External"/><Relationship Id="rId1" Type="http://schemas.openxmlformats.org/officeDocument/2006/relationships/hyperlink" Target="https://www.bls.gov/charts/metro-area-employment-and-unemployment/metro-area-oty-percent-change-in-average-weekly-earnings.htm" TargetMode="External"/><Relationship Id="rId6" Type="http://schemas.openxmlformats.org/officeDocument/2006/relationships/hyperlink" Target="https://chatgpt.com/c/67465858-02a0-8009-b2db-425b7e7d9d9c" TargetMode="External"/><Relationship Id="rId11" Type="http://schemas.openxmlformats.org/officeDocument/2006/relationships/image" Target="../media/image24.png"/><Relationship Id="rId5" Type="http://schemas.openxmlformats.org/officeDocument/2006/relationships/hyperlink" Target="https://www.currentresults.com/Weather/US/annual-snowfall-by-city.php" TargetMode="External"/><Relationship Id="rId10" Type="http://schemas.openxmlformats.org/officeDocument/2006/relationships/image" Target="../media/image23.svg"/><Relationship Id="rId4" Type="http://schemas.openxmlformats.org/officeDocument/2006/relationships/hyperlink" Target="https://www.waterqualitydata.us/" TargetMode="External"/><Relationship Id="rId9" Type="http://schemas.openxmlformats.org/officeDocument/2006/relationships/image" Target="../media/image22.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svg"/><Relationship Id="rId1" Type="http://schemas.openxmlformats.org/officeDocument/2006/relationships/image" Target="../media/image22.png"/><Relationship Id="rId4" Type="http://schemas.openxmlformats.org/officeDocument/2006/relationships/image" Target="../media/image25.sv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3660775</xdr:colOff>
      <xdr:row>33</xdr:row>
      <xdr:rowOff>45666</xdr:rowOff>
    </xdr:to>
    <xdr:pic>
      <xdr:nvPicPr>
        <xdr:cNvPr id="2" name="Picture 1">
          <a:extLst>
            <a:ext uri="{FF2B5EF4-FFF2-40B4-BE49-F238E27FC236}">
              <a16:creationId xmlns:a16="http://schemas.microsoft.com/office/drawing/2014/main" id="{4540AD6F-AB10-907B-C013-C98E318888FE}"/>
            </a:ext>
          </a:extLst>
        </xdr:cNvPr>
        <xdr:cNvPicPr>
          <a:picLocks noChangeAspect="1"/>
        </xdr:cNvPicPr>
      </xdr:nvPicPr>
      <xdr:blipFill>
        <a:blip xmlns:r="http://schemas.openxmlformats.org/officeDocument/2006/relationships" r:embed="rId1"/>
        <a:stretch>
          <a:fillRect/>
        </a:stretch>
      </xdr:blipFill>
      <xdr:spPr>
        <a:xfrm>
          <a:off x="0" y="0"/>
          <a:ext cx="10198100" cy="6446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21</xdr:col>
      <xdr:colOff>28575</xdr:colOff>
      <xdr:row>4</xdr:row>
      <xdr:rowOff>38100</xdr:rowOff>
    </xdr:from>
    <xdr:to>
      <xdr:col>28</xdr:col>
      <xdr:colOff>438151</xdr:colOff>
      <xdr:row>18</xdr:row>
      <xdr:rowOff>95250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AEF4D71-2DC1-32FA-2DDB-AD04C4D549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532975" y="825500"/>
              <a:ext cx="5121276" cy="2749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142874</xdr:colOff>
      <xdr:row>1</xdr:row>
      <xdr:rowOff>142874</xdr:rowOff>
    </xdr:from>
    <xdr:to>
      <xdr:col>3</xdr:col>
      <xdr:colOff>590549</xdr:colOff>
      <xdr:row>52</xdr:row>
      <xdr:rowOff>133349</xdr:rowOff>
    </xdr:to>
    <xdr:sp macro="" textlink="">
      <xdr:nvSpPr>
        <xdr:cNvPr id="34" name="Rectangle: Rounded Corners 1">
          <a:extLst>
            <a:ext uri="{FF2B5EF4-FFF2-40B4-BE49-F238E27FC236}">
              <a16:creationId xmlns:a16="http://schemas.microsoft.com/office/drawing/2014/main" id="{D5CDBA5D-D170-BFFC-C34D-39C59F52A498}"/>
            </a:ext>
          </a:extLst>
        </xdr:cNvPr>
        <xdr:cNvSpPr/>
      </xdr:nvSpPr>
      <xdr:spPr>
        <a:xfrm>
          <a:off x="142874" y="333374"/>
          <a:ext cx="2276475" cy="97059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90486</xdr:colOff>
      <xdr:row>11</xdr:row>
      <xdr:rowOff>76200</xdr:rowOff>
    </xdr:from>
    <xdr:to>
      <xdr:col>3</xdr:col>
      <xdr:colOff>33336</xdr:colOff>
      <xdr:row>17</xdr:row>
      <xdr:rowOff>95250</xdr:rowOff>
    </xdr:to>
    <xdr:pic macro="[0]!Ranking_Sheet">
      <xdr:nvPicPr>
        <xdr:cNvPr id="40" name="Graphic 18" descr="Trophy with solid fill">
          <a:hlinkClick xmlns:r="http://schemas.openxmlformats.org/officeDocument/2006/relationships" r:id="rId1" tooltip="Click to look for the rankings of the cities"/>
          <a:extLst>
            <a:ext uri="{FF2B5EF4-FFF2-40B4-BE49-F238E27FC236}">
              <a16:creationId xmlns:a16="http://schemas.microsoft.com/office/drawing/2014/main" id="{4A37EBB9-D940-DE1E-C560-066D6F1DD38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00086" y="2171700"/>
          <a:ext cx="1162050" cy="1162050"/>
        </a:xfrm>
        <a:prstGeom prst="rect">
          <a:avLst/>
        </a:prstGeom>
      </xdr:spPr>
    </xdr:pic>
    <xdr:clientData/>
  </xdr:twoCellAnchor>
  <xdr:twoCellAnchor editAs="oneCell">
    <xdr:from>
      <xdr:col>1</xdr:col>
      <xdr:colOff>90867</xdr:colOff>
      <xdr:row>3</xdr:row>
      <xdr:rowOff>114300</xdr:rowOff>
    </xdr:from>
    <xdr:to>
      <xdr:col>3</xdr:col>
      <xdr:colOff>32955</xdr:colOff>
      <xdr:row>9</xdr:row>
      <xdr:rowOff>132588</xdr:rowOff>
    </xdr:to>
    <xdr:pic macro="[0]!Data_Source">
      <xdr:nvPicPr>
        <xdr:cNvPr id="39" name="Graphic 20" descr="Internet with solid fill">
          <a:hlinkClick xmlns:r="http://schemas.openxmlformats.org/officeDocument/2006/relationships" r:id="rId4" tooltip="Click to see the Source Data"/>
          <a:extLst>
            <a:ext uri="{FF2B5EF4-FFF2-40B4-BE49-F238E27FC236}">
              <a16:creationId xmlns:a16="http://schemas.microsoft.com/office/drawing/2014/main" id="{073F2394-E553-2190-DCC3-2ED04ADA102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00467" y="685800"/>
          <a:ext cx="1161288" cy="1161288"/>
        </a:xfrm>
        <a:prstGeom prst="rect">
          <a:avLst/>
        </a:prstGeom>
      </xdr:spPr>
    </xdr:pic>
    <xdr:clientData/>
  </xdr:twoCellAnchor>
  <xdr:twoCellAnchor editAs="oneCell">
    <xdr:from>
      <xdr:col>1</xdr:col>
      <xdr:colOff>90867</xdr:colOff>
      <xdr:row>18</xdr:row>
      <xdr:rowOff>142875</xdr:rowOff>
    </xdr:from>
    <xdr:to>
      <xdr:col>3</xdr:col>
      <xdr:colOff>32955</xdr:colOff>
      <xdr:row>24</xdr:row>
      <xdr:rowOff>161163</xdr:rowOff>
    </xdr:to>
    <xdr:pic macro="[0]!Team_Members">
      <xdr:nvPicPr>
        <xdr:cNvPr id="38" name="Graphic 22" descr="Cheers with solid fill">
          <a:hlinkClick xmlns:r="http://schemas.openxmlformats.org/officeDocument/2006/relationships" r:id="rId7" tooltip="Click to watch our Amazing Group members"/>
          <a:extLst>
            <a:ext uri="{FF2B5EF4-FFF2-40B4-BE49-F238E27FC236}">
              <a16:creationId xmlns:a16="http://schemas.microsoft.com/office/drawing/2014/main" id="{3B98C253-6AA8-0523-E4B8-9E7259B0009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00467" y="3571875"/>
          <a:ext cx="1161288" cy="1161288"/>
        </a:xfrm>
        <a:prstGeom prst="rect">
          <a:avLst/>
        </a:prstGeom>
      </xdr:spPr>
    </xdr:pic>
    <xdr:clientData/>
  </xdr:twoCellAnchor>
  <xdr:twoCellAnchor editAs="oneCell">
    <xdr:from>
      <xdr:col>0</xdr:col>
      <xdr:colOff>171450</xdr:colOff>
      <xdr:row>25</xdr:row>
      <xdr:rowOff>19049</xdr:rowOff>
    </xdr:from>
    <xdr:to>
      <xdr:col>3</xdr:col>
      <xdr:colOff>581025</xdr:colOff>
      <xdr:row>39</xdr:row>
      <xdr:rowOff>54740</xdr:rowOff>
    </xdr:to>
    <mc:AlternateContent xmlns:mc="http://schemas.openxmlformats.org/markup-compatibility/2006" xmlns:a14="http://schemas.microsoft.com/office/drawing/2010/main">
      <mc:Choice Requires="a14">
        <xdr:graphicFrame macro="">
          <xdr:nvGraphicFramePr>
            <xdr:cNvPr id="30" name="City">
              <a:extLst>
                <a:ext uri="{FF2B5EF4-FFF2-40B4-BE49-F238E27FC236}">
                  <a16:creationId xmlns:a16="http://schemas.microsoft.com/office/drawing/2014/main" id="{F91016A0-12C2-CE89-2C11-661F78904A5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71450" y="4781550"/>
              <a:ext cx="2238375" cy="2600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161925</xdr:colOff>
      <xdr:row>39</xdr:row>
      <xdr:rowOff>161926</xdr:rowOff>
    </xdr:from>
    <xdr:to>
      <xdr:col>3</xdr:col>
      <xdr:colOff>571500</xdr:colOff>
      <xdr:row>51</xdr:row>
      <xdr:rowOff>5716</xdr:rowOff>
    </xdr:to>
    <mc:AlternateContent xmlns:mc="http://schemas.openxmlformats.org/markup-compatibility/2006" xmlns:a14="http://schemas.microsoft.com/office/drawing/2010/main">
      <mc:Choice Requires="a14">
        <xdr:graphicFrame macro="">
          <xdr:nvGraphicFramePr>
            <xdr:cNvPr id="6" name="State">
              <a:extLst>
                <a:ext uri="{FF2B5EF4-FFF2-40B4-BE49-F238E27FC236}">
                  <a16:creationId xmlns:a16="http://schemas.microsoft.com/office/drawing/2014/main" id="{FA923E9C-EEA9-FC70-2F4B-06C564F25BF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09550" y="7591425"/>
              <a:ext cx="192024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76200</xdr:colOff>
      <xdr:row>1</xdr:row>
      <xdr:rowOff>167996</xdr:rowOff>
    </xdr:from>
    <xdr:to>
      <xdr:col>39</xdr:col>
      <xdr:colOff>314325</xdr:colOff>
      <xdr:row>9</xdr:row>
      <xdr:rowOff>57905</xdr:rowOff>
    </xdr:to>
    <xdr:sp macro="" textlink="">
      <xdr:nvSpPr>
        <xdr:cNvPr id="3" name="Rectangle: Rounded Corners 2">
          <a:extLst>
            <a:ext uri="{FF2B5EF4-FFF2-40B4-BE49-F238E27FC236}">
              <a16:creationId xmlns:a16="http://schemas.microsoft.com/office/drawing/2014/main" id="{CFC0BD78-7EB3-8AE4-49B8-D0790D661EDC}"/>
            </a:ext>
          </a:extLst>
        </xdr:cNvPr>
        <xdr:cNvSpPr/>
      </xdr:nvSpPr>
      <xdr:spPr>
        <a:xfrm>
          <a:off x="2514600" y="358496"/>
          <a:ext cx="21574125" cy="14139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400050</xdr:colOff>
      <xdr:row>2</xdr:row>
      <xdr:rowOff>102442</xdr:rowOff>
    </xdr:from>
    <xdr:to>
      <xdr:col>30</xdr:col>
      <xdr:colOff>133350</xdr:colOff>
      <xdr:row>8</xdr:row>
      <xdr:rowOff>17469</xdr:rowOff>
    </xdr:to>
    <xdr:sp macro="" textlink="">
      <xdr:nvSpPr>
        <xdr:cNvPr id="43" name="TextBox 3">
          <a:extLst>
            <a:ext uri="{FF2B5EF4-FFF2-40B4-BE49-F238E27FC236}">
              <a16:creationId xmlns:a16="http://schemas.microsoft.com/office/drawing/2014/main" id="{CF1FFE3B-358B-FC24-E7DF-33A435035DEF}"/>
            </a:ext>
          </a:extLst>
        </xdr:cNvPr>
        <xdr:cNvSpPr txBox="1"/>
      </xdr:nvSpPr>
      <xdr:spPr>
        <a:xfrm>
          <a:off x="7105650" y="483442"/>
          <a:ext cx="11315700" cy="1058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b="1" u="sng" cap="none" spc="0">
              <a:ln w="12700">
                <a:solidFill>
                  <a:schemeClr val="accent5"/>
                </a:solidFill>
                <a:prstDash val="solid"/>
              </a:ln>
              <a:pattFill prst="ltDnDiag">
                <a:fgClr>
                  <a:schemeClr val="accent5">
                    <a:lumMod val="60000"/>
                    <a:lumOff val="40000"/>
                  </a:schemeClr>
                </a:fgClr>
                <a:bgClr>
                  <a:schemeClr val="bg1"/>
                </a:bgClr>
              </a:pattFill>
              <a:effectLst/>
            </a:rPr>
            <a:t>Best Places</a:t>
          </a:r>
          <a:r>
            <a:rPr lang="en-US" sz="6000" b="1" u="sng" cap="none" spc="0" baseline="0">
              <a:ln w="12700">
                <a:solidFill>
                  <a:schemeClr val="accent5"/>
                </a:solidFill>
                <a:prstDash val="solid"/>
              </a:ln>
              <a:pattFill prst="ltDnDiag">
                <a:fgClr>
                  <a:schemeClr val="accent5">
                    <a:lumMod val="60000"/>
                    <a:lumOff val="40000"/>
                  </a:schemeClr>
                </a:fgClr>
                <a:bgClr>
                  <a:schemeClr val="bg1"/>
                </a:bgClr>
              </a:pattFill>
              <a:effectLst/>
            </a:rPr>
            <a:t> to Live in United States</a:t>
          </a:r>
          <a:endParaRPr lang="en-US" sz="6000" b="1" u="sng" cap="none" spc="0">
            <a:ln w="12700">
              <a:solidFill>
                <a:schemeClr val="accent5"/>
              </a:solidFill>
              <a:prstDash val="solid"/>
            </a:ln>
            <a:pattFill prst="ltDnDiag">
              <a:fgClr>
                <a:schemeClr val="accent5">
                  <a:lumMod val="60000"/>
                  <a:lumOff val="40000"/>
                </a:schemeClr>
              </a:fgClr>
              <a:bgClr>
                <a:schemeClr val="bg1"/>
              </a:bgClr>
            </a:pattFill>
            <a:effectLst/>
          </a:endParaRPr>
        </a:p>
      </xdr:txBody>
    </xdr:sp>
    <xdr:clientData/>
  </xdr:twoCellAnchor>
  <xdr:twoCellAnchor>
    <xdr:from>
      <xdr:col>10</xdr:col>
      <xdr:colOff>111578</xdr:colOff>
      <xdr:row>10</xdr:row>
      <xdr:rowOff>74888</xdr:rowOff>
    </xdr:from>
    <xdr:to>
      <xdr:col>15</xdr:col>
      <xdr:colOff>384810</xdr:colOff>
      <xdr:row>21</xdr:row>
      <xdr:rowOff>182008</xdr:rowOff>
    </xdr:to>
    <xdr:sp macro="" textlink="">
      <xdr:nvSpPr>
        <xdr:cNvPr id="74" name="Rectangle: Rounded Corners 7">
          <a:extLst>
            <a:ext uri="{FF2B5EF4-FFF2-40B4-BE49-F238E27FC236}">
              <a16:creationId xmlns:a16="http://schemas.microsoft.com/office/drawing/2014/main" id="{0BEFCBD2-53BD-4C4B-8AE3-7FE793C02ACE}"/>
            </a:ext>
            <a:ext uri="{147F2762-F138-4A5C-976F-8EAC2B608ADB}">
              <a16:predDERef xmlns:a16="http://schemas.microsoft.com/office/drawing/2014/main" pred="{CF1FFE3B-358B-FC24-E7DF-33A435035DEF}"/>
            </a:ext>
          </a:extLst>
        </xdr:cNvPr>
        <xdr:cNvSpPr/>
      </xdr:nvSpPr>
      <xdr:spPr>
        <a:xfrm>
          <a:off x="6207578" y="1979888"/>
          <a:ext cx="3321232" cy="2202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66675</xdr:colOff>
      <xdr:row>23</xdr:row>
      <xdr:rowOff>108110</xdr:rowOff>
    </xdr:from>
    <xdr:to>
      <xdr:col>21</xdr:col>
      <xdr:colOff>428625</xdr:colOff>
      <xdr:row>37</xdr:row>
      <xdr:rowOff>153507</xdr:rowOff>
    </xdr:to>
    <xdr:sp macro="" textlink="">
      <xdr:nvSpPr>
        <xdr:cNvPr id="66" name="Rectangle: Rounded Corners 9">
          <a:extLst>
            <a:ext uri="{FF2B5EF4-FFF2-40B4-BE49-F238E27FC236}">
              <a16:creationId xmlns:a16="http://schemas.microsoft.com/office/drawing/2014/main" id="{6A2521AF-2996-0171-D4C8-C1EA6FB3FE8A}"/>
            </a:ext>
          </a:extLst>
        </xdr:cNvPr>
        <xdr:cNvSpPr/>
      </xdr:nvSpPr>
      <xdr:spPr>
        <a:xfrm>
          <a:off x="2505075" y="4489610"/>
          <a:ext cx="10725150" cy="27123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590005</xdr:colOff>
      <xdr:row>38</xdr:row>
      <xdr:rowOff>68810</xdr:rowOff>
    </xdr:from>
    <xdr:to>
      <xdr:col>39</xdr:col>
      <xdr:colOff>343117</xdr:colOff>
      <xdr:row>52</xdr:row>
      <xdr:rowOff>114207</xdr:rowOff>
    </xdr:to>
    <xdr:sp macro="" textlink="">
      <xdr:nvSpPr>
        <xdr:cNvPr id="9" name="Rectangle: Rounded Corners 13">
          <a:extLst>
            <a:ext uri="{FF2B5EF4-FFF2-40B4-BE49-F238E27FC236}">
              <a16:creationId xmlns:a16="http://schemas.microsoft.com/office/drawing/2014/main" id="{FD5BB50C-E0CF-4769-8574-4C7E8184E8FD}"/>
            </a:ext>
          </a:extLst>
        </xdr:cNvPr>
        <xdr:cNvSpPr/>
      </xdr:nvSpPr>
      <xdr:spPr>
        <a:xfrm>
          <a:off x="13391605" y="7307810"/>
          <a:ext cx="10725912" cy="27123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66675</xdr:colOff>
      <xdr:row>38</xdr:row>
      <xdr:rowOff>78428</xdr:rowOff>
    </xdr:from>
    <xdr:to>
      <xdr:col>21</xdr:col>
      <xdr:colOff>429387</xdr:colOff>
      <xdr:row>52</xdr:row>
      <xdr:rowOff>123825</xdr:rowOff>
    </xdr:to>
    <xdr:sp macro="" textlink="">
      <xdr:nvSpPr>
        <xdr:cNvPr id="15" name="Rectangle: Rounded Corners 14">
          <a:extLst>
            <a:ext uri="{FF2B5EF4-FFF2-40B4-BE49-F238E27FC236}">
              <a16:creationId xmlns:a16="http://schemas.microsoft.com/office/drawing/2014/main" id="{496AA193-5627-45C6-A54D-2553C8C5FABF}"/>
            </a:ext>
          </a:extLst>
        </xdr:cNvPr>
        <xdr:cNvSpPr/>
      </xdr:nvSpPr>
      <xdr:spPr>
        <a:xfrm>
          <a:off x="2505075" y="7317428"/>
          <a:ext cx="10725912" cy="27123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233363</xdr:colOff>
      <xdr:row>3</xdr:row>
      <xdr:rowOff>4762</xdr:rowOff>
    </xdr:from>
    <xdr:to>
      <xdr:col>35</xdr:col>
      <xdr:colOff>400050</xdr:colOff>
      <xdr:row>8</xdr:row>
      <xdr:rowOff>56036</xdr:rowOff>
    </xdr:to>
    <xdr:sp macro="" textlink="">
      <xdr:nvSpPr>
        <xdr:cNvPr id="44" name="TextBox 16">
          <a:extLst>
            <a:ext uri="{FF2B5EF4-FFF2-40B4-BE49-F238E27FC236}">
              <a16:creationId xmlns:a16="http://schemas.microsoft.com/office/drawing/2014/main" id="{BCB467D2-53C1-C82E-4793-B5F7F0E56ED5}"/>
            </a:ext>
          </a:extLst>
        </xdr:cNvPr>
        <xdr:cNvSpPr txBox="1"/>
      </xdr:nvSpPr>
      <xdr:spPr>
        <a:xfrm>
          <a:off x="19807238" y="547687"/>
          <a:ext cx="3429000" cy="956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RANKING</a:t>
          </a:r>
          <a:r>
            <a:rPr lang="en-US" sz="54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rPr>
            <a:t>:</a:t>
          </a:r>
        </a:p>
      </xdr:txBody>
    </xdr:sp>
    <xdr:clientData/>
  </xdr:twoCellAnchor>
  <xdr:twoCellAnchor>
    <xdr:from>
      <xdr:col>4</xdr:col>
      <xdr:colOff>85725</xdr:colOff>
      <xdr:row>10</xdr:row>
      <xdr:rowOff>74888</xdr:rowOff>
    </xdr:from>
    <xdr:to>
      <xdr:col>9</xdr:col>
      <xdr:colOff>358956</xdr:colOff>
      <xdr:row>21</xdr:row>
      <xdr:rowOff>182008</xdr:rowOff>
    </xdr:to>
    <xdr:sp macro="" textlink="">
      <xdr:nvSpPr>
        <xdr:cNvPr id="73" name="Rounded Rectangle 6">
          <a:extLst>
            <a:ext uri="{FF2B5EF4-FFF2-40B4-BE49-F238E27FC236}">
              <a16:creationId xmlns:a16="http://schemas.microsoft.com/office/drawing/2014/main" id="{92217AB6-C820-4A3B-AEA6-284B6494CFF9}"/>
            </a:ext>
            <a:ext uri="{147F2762-F138-4A5C-976F-8EAC2B608ADB}">
              <a16:predDERef xmlns:a16="http://schemas.microsoft.com/office/drawing/2014/main" pred="{96B97D0A-D875-85C2-4190-D3B60A2BBC14}"/>
            </a:ext>
          </a:extLst>
        </xdr:cNvPr>
        <xdr:cNvSpPr/>
      </xdr:nvSpPr>
      <xdr:spPr>
        <a:xfrm>
          <a:off x="2524125" y="1979888"/>
          <a:ext cx="3321231" cy="2202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16</xdr:col>
      <xdr:colOff>137432</xdr:colOff>
      <xdr:row>10</xdr:row>
      <xdr:rowOff>74888</xdr:rowOff>
    </xdr:from>
    <xdr:to>
      <xdr:col>21</xdr:col>
      <xdr:colOff>410663</xdr:colOff>
      <xdr:row>21</xdr:row>
      <xdr:rowOff>173336</xdr:rowOff>
    </xdr:to>
    <xdr:sp macro="" textlink="">
      <xdr:nvSpPr>
        <xdr:cNvPr id="75" name="Rounded Rectangle 10">
          <a:extLst>
            <a:ext uri="{FF2B5EF4-FFF2-40B4-BE49-F238E27FC236}">
              <a16:creationId xmlns:a16="http://schemas.microsoft.com/office/drawing/2014/main" id="{08F3CCF7-4C90-44D0-BC90-A17FCFC63018}"/>
            </a:ext>
            <a:ext uri="{147F2762-F138-4A5C-976F-8EAC2B608ADB}">
              <a16:predDERef xmlns:a16="http://schemas.microsoft.com/office/drawing/2014/main" pred="{92217AB6-C820-4A3B-AEA6-284B6494CFF9}"/>
            </a:ext>
          </a:extLst>
        </xdr:cNvPr>
        <xdr:cNvSpPr/>
      </xdr:nvSpPr>
      <xdr:spPr>
        <a:xfrm>
          <a:off x="9891032" y="1979888"/>
          <a:ext cx="3321231" cy="2193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21</xdr:col>
      <xdr:colOff>591638</xdr:colOff>
      <xdr:row>10</xdr:row>
      <xdr:rowOff>74888</xdr:rowOff>
    </xdr:from>
    <xdr:to>
      <xdr:col>39</xdr:col>
      <xdr:colOff>341484</xdr:colOff>
      <xdr:row>37</xdr:row>
      <xdr:rowOff>145950</xdr:rowOff>
    </xdr:to>
    <xdr:sp macro="" textlink="">
      <xdr:nvSpPr>
        <xdr:cNvPr id="5" name="Rectangle: Rounded Corners 4">
          <a:extLst>
            <a:ext uri="{FF2B5EF4-FFF2-40B4-BE49-F238E27FC236}">
              <a16:creationId xmlns:a16="http://schemas.microsoft.com/office/drawing/2014/main" id="{3D37A539-5F7C-47F4-963C-EE2F28178725}"/>
            </a:ext>
          </a:extLst>
        </xdr:cNvPr>
        <xdr:cNvSpPr/>
      </xdr:nvSpPr>
      <xdr:spPr>
        <a:xfrm>
          <a:off x="13393238" y="1979888"/>
          <a:ext cx="10722646" cy="521456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85725</xdr:colOff>
      <xdr:row>13</xdr:row>
      <xdr:rowOff>18358</xdr:rowOff>
    </xdr:from>
    <xdr:to>
      <xdr:col>6</xdr:col>
      <xdr:colOff>27813</xdr:colOff>
      <xdr:row>19</xdr:row>
      <xdr:rowOff>57986</xdr:rowOff>
    </xdr:to>
    <xdr:pic>
      <xdr:nvPicPr>
        <xdr:cNvPr id="12" name="Graphic 11" descr="Leaky Tap with solid fill">
          <a:extLst>
            <a:ext uri="{FF2B5EF4-FFF2-40B4-BE49-F238E27FC236}">
              <a16:creationId xmlns:a16="http://schemas.microsoft.com/office/drawing/2014/main" id="{06DE785B-35AA-85CC-6A3E-FE68521733A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524125" y="2494858"/>
          <a:ext cx="1161288" cy="1182628"/>
        </a:xfrm>
        <a:prstGeom prst="rect">
          <a:avLst/>
        </a:prstGeom>
      </xdr:spPr>
    </xdr:pic>
    <xdr:clientData/>
  </xdr:twoCellAnchor>
  <xdr:twoCellAnchor>
    <xdr:from>
      <xdr:col>10</xdr:col>
      <xdr:colOff>111578</xdr:colOff>
      <xdr:row>13</xdr:row>
      <xdr:rowOff>18358</xdr:rowOff>
    </xdr:from>
    <xdr:to>
      <xdr:col>12</xdr:col>
      <xdr:colOff>53666</xdr:colOff>
      <xdr:row>19</xdr:row>
      <xdr:rowOff>57986</xdr:rowOff>
    </xdr:to>
    <xdr:pic>
      <xdr:nvPicPr>
        <xdr:cNvPr id="18" name="Graphic 17" descr="Snowman with solid fill">
          <a:extLst>
            <a:ext uri="{FF2B5EF4-FFF2-40B4-BE49-F238E27FC236}">
              <a16:creationId xmlns:a16="http://schemas.microsoft.com/office/drawing/2014/main" id="{D3AEF1D3-41B0-9490-B338-F39B979CC11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207578" y="2494858"/>
          <a:ext cx="1161288" cy="1182628"/>
        </a:xfrm>
        <a:prstGeom prst="rect">
          <a:avLst/>
        </a:prstGeom>
      </xdr:spPr>
    </xdr:pic>
    <xdr:clientData/>
  </xdr:twoCellAnchor>
  <xdr:twoCellAnchor>
    <xdr:from>
      <xdr:col>16</xdr:col>
      <xdr:colOff>137432</xdr:colOff>
      <xdr:row>13</xdr:row>
      <xdr:rowOff>92509</xdr:rowOff>
    </xdr:from>
    <xdr:to>
      <xdr:col>17</xdr:col>
      <xdr:colOff>533672</xdr:colOff>
      <xdr:row>18</xdr:row>
      <xdr:rowOff>155715</xdr:rowOff>
    </xdr:to>
    <xdr:pic>
      <xdr:nvPicPr>
        <xdr:cNvPr id="22" name="Graphic 21" descr="Power Plant with solid fill">
          <a:extLst>
            <a:ext uri="{FF2B5EF4-FFF2-40B4-BE49-F238E27FC236}">
              <a16:creationId xmlns:a16="http://schemas.microsoft.com/office/drawing/2014/main" id="{B9DA92E4-DB4C-2AD7-EB54-D7AE5BC1600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891032" y="2569009"/>
          <a:ext cx="1005840" cy="1015706"/>
        </a:xfrm>
        <a:prstGeom prst="rect">
          <a:avLst/>
        </a:prstGeom>
      </xdr:spPr>
    </xdr:pic>
    <xdr:clientData/>
  </xdr:twoCellAnchor>
  <xdr:twoCellAnchor>
    <xdr:from>
      <xdr:col>5</xdr:col>
      <xdr:colOff>502854</xdr:colOff>
      <xdr:row>11</xdr:row>
      <xdr:rowOff>16867</xdr:rowOff>
    </xdr:from>
    <xdr:to>
      <xdr:col>9</xdr:col>
      <xdr:colOff>150429</xdr:colOff>
      <xdr:row>19</xdr:row>
      <xdr:rowOff>31816</xdr:rowOff>
    </xdr:to>
    <xdr:sp macro="" textlink="">
      <xdr:nvSpPr>
        <xdr:cNvPr id="27" name="TextBox 26">
          <a:extLst>
            <a:ext uri="{FF2B5EF4-FFF2-40B4-BE49-F238E27FC236}">
              <a16:creationId xmlns:a16="http://schemas.microsoft.com/office/drawing/2014/main" id="{4D6BB7FD-E565-4318-2499-C362E0335645}"/>
            </a:ext>
          </a:extLst>
        </xdr:cNvPr>
        <xdr:cNvSpPr txBox="1"/>
      </xdr:nvSpPr>
      <xdr:spPr>
        <a:xfrm>
          <a:off x="3550854" y="2112367"/>
          <a:ext cx="2085975" cy="1538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accent4">
                  <a:lumMod val="60000"/>
                  <a:lumOff val="40000"/>
                </a:schemeClr>
              </a:solidFill>
            </a:rPr>
            <a:t>Boston</a:t>
          </a:r>
          <a:r>
            <a:rPr lang="en-US" sz="1800">
              <a:solidFill>
                <a:schemeClr val="bg1"/>
              </a:solidFill>
            </a:rPr>
            <a:t>,</a:t>
          </a:r>
          <a:r>
            <a:rPr lang="en-US" sz="1800" baseline="0">
              <a:solidFill>
                <a:schemeClr val="bg1"/>
              </a:solidFill>
            </a:rPr>
            <a:t> MA </a:t>
          </a:r>
          <a:r>
            <a:rPr lang="en-US" sz="1800">
              <a:solidFill>
                <a:schemeClr val="bg1"/>
              </a:solidFill>
            </a:rPr>
            <a:t>has the best water quality, with a violation level of </a:t>
          </a:r>
          <a:r>
            <a:rPr lang="en-US" sz="1800" b="1">
              <a:solidFill>
                <a:schemeClr val="accent6">
                  <a:lumMod val="40000"/>
                  <a:lumOff val="60000"/>
                </a:schemeClr>
              </a:solidFill>
            </a:rPr>
            <a:t>622</a:t>
          </a:r>
          <a:r>
            <a:rPr lang="en-US" sz="1800"/>
            <a:t> </a:t>
          </a:r>
          <a:r>
            <a:rPr lang="en-US" sz="1800">
              <a:solidFill>
                <a:schemeClr val="bg1"/>
              </a:solidFill>
            </a:rPr>
            <a:t>ppm</a:t>
          </a:r>
        </a:p>
      </xdr:txBody>
    </xdr:sp>
    <xdr:clientData/>
  </xdr:twoCellAnchor>
  <xdr:twoCellAnchor>
    <xdr:from>
      <xdr:col>4</xdr:col>
      <xdr:colOff>166191</xdr:colOff>
      <xdr:row>19</xdr:row>
      <xdr:rowOff>92510</xdr:rowOff>
    </xdr:from>
    <xdr:to>
      <xdr:col>9</xdr:col>
      <xdr:colOff>51236</xdr:colOff>
      <xdr:row>21</xdr:row>
      <xdr:rowOff>163245</xdr:rowOff>
    </xdr:to>
    <xdr:sp macro="" textlink="">
      <xdr:nvSpPr>
        <xdr:cNvPr id="28" name="TextBox 27">
          <a:extLst>
            <a:ext uri="{FF2B5EF4-FFF2-40B4-BE49-F238E27FC236}">
              <a16:creationId xmlns:a16="http://schemas.microsoft.com/office/drawing/2014/main" id="{D6D89C9D-90A0-0602-9409-B10C6CC5275A}"/>
            </a:ext>
          </a:extLst>
        </xdr:cNvPr>
        <xdr:cNvSpPr txBox="1"/>
      </xdr:nvSpPr>
      <xdr:spPr>
        <a:xfrm>
          <a:off x="2604591" y="3712010"/>
          <a:ext cx="2933045" cy="451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To know</a:t>
          </a:r>
          <a:r>
            <a:rPr lang="en-US" sz="1100" baseline="0">
              <a:solidFill>
                <a:schemeClr val="bg1"/>
              </a:solidFill>
            </a:rPr>
            <a:t> about other cities water quality click here </a:t>
          </a:r>
          <a:endParaRPr lang="en-US" sz="1100">
            <a:solidFill>
              <a:schemeClr val="bg1"/>
            </a:solidFill>
          </a:endParaRPr>
        </a:p>
      </xdr:txBody>
    </xdr:sp>
    <xdr:clientData/>
  </xdr:twoCellAnchor>
  <xdr:twoCellAnchor>
    <xdr:from>
      <xdr:col>11</xdr:col>
      <xdr:colOff>529457</xdr:colOff>
      <xdr:row>11</xdr:row>
      <xdr:rowOff>16867</xdr:rowOff>
    </xdr:from>
    <xdr:to>
      <xdr:col>15</xdr:col>
      <xdr:colOff>291332</xdr:colOff>
      <xdr:row>19</xdr:row>
      <xdr:rowOff>40107</xdr:rowOff>
    </xdr:to>
    <xdr:sp macro="" textlink="">
      <xdr:nvSpPr>
        <xdr:cNvPr id="31" name="TextBox 30">
          <a:extLst>
            <a:ext uri="{FF2B5EF4-FFF2-40B4-BE49-F238E27FC236}">
              <a16:creationId xmlns:a16="http://schemas.microsoft.com/office/drawing/2014/main" id="{C9469802-BA37-3489-5DF8-68AED91BCFE1}"/>
            </a:ext>
          </a:extLst>
        </xdr:cNvPr>
        <xdr:cNvSpPr txBox="1"/>
      </xdr:nvSpPr>
      <xdr:spPr>
        <a:xfrm>
          <a:off x="7235057" y="2112367"/>
          <a:ext cx="2200275" cy="154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800" b="1" i="0" u="none" strike="noStrike">
              <a:solidFill>
                <a:schemeClr val="accent4">
                  <a:lumMod val="60000"/>
                  <a:lumOff val="40000"/>
                </a:schemeClr>
              </a:solidFill>
              <a:latin typeface="Calibri"/>
              <a:ea typeface="Calibri"/>
              <a:cs typeface="Calibri"/>
            </a:rPr>
            <a:t>Boston</a:t>
          </a:r>
          <a:r>
            <a:rPr lang="en-US" sz="1800" b="0" i="0" u="none" strike="noStrike">
              <a:solidFill>
                <a:schemeClr val="bg1"/>
              </a:solidFill>
              <a:latin typeface="Calibri"/>
              <a:ea typeface="Calibri"/>
              <a:cs typeface="Calibri"/>
            </a:rPr>
            <a:t>, MA </a:t>
          </a:r>
          <a:r>
            <a:rPr lang="en-US" sz="1800">
              <a:solidFill>
                <a:schemeClr val="bg1"/>
              </a:solidFill>
            </a:rPr>
            <a:t>has the highest snowfall, measuring </a:t>
          </a:r>
          <a:r>
            <a:rPr lang="en-US" sz="1800" b="1">
              <a:solidFill>
                <a:schemeClr val="accent6">
                  <a:lumMod val="40000"/>
                  <a:lumOff val="60000"/>
                </a:schemeClr>
              </a:solidFill>
            </a:rPr>
            <a:t>49.2</a:t>
          </a:r>
          <a:r>
            <a:rPr lang="en-US" sz="1800">
              <a:solidFill>
                <a:schemeClr val="bg1"/>
              </a:solidFill>
            </a:rPr>
            <a:t> inches</a:t>
          </a:r>
          <a:endParaRPr lang="en-US" sz="1800" b="0" i="0" u="none" strike="noStrike">
            <a:solidFill>
              <a:schemeClr val="bg1"/>
            </a:solidFill>
            <a:latin typeface="Calibri"/>
            <a:ea typeface="Calibri"/>
            <a:cs typeface="Calibri"/>
          </a:endParaRPr>
        </a:p>
      </xdr:txBody>
    </xdr:sp>
    <xdr:clientData/>
  </xdr:twoCellAnchor>
  <xdr:twoCellAnchor>
    <xdr:from>
      <xdr:col>10</xdr:col>
      <xdr:colOff>228270</xdr:colOff>
      <xdr:row>19</xdr:row>
      <xdr:rowOff>29824</xdr:rowOff>
    </xdr:from>
    <xdr:to>
      <xdr:col>14</xdr:col>
      <xdr:colOff>295275</xdr:colOff>
      <xdr:row>21</xdr:row>
      <xdr:rowOff>100890</xdr:rowOff>
    </xdr:to>
    <xdr:sp macro="" textlink="">
      <xdr:nvSpPr>
        <xdr:cNvPr id="32" name="TextBox 31">
          <a:extLst>
            <a:ext uri="{FF2B5EF4-FFF2-40B4-BE49-F238E27FC236}">
              <a16:creationId xmlns:a16="http://schemas.microsoft.com/office/drawing/2014/main" id="{26DC7B5D-1D32-481C-65BF-60ACB364BA80}"/>
            </a:ext>
          </a:extLst>
        </xdr:cNvPr>
        <xdr:cNvSpPr txBox="1"/>
      </xdr:nvSpPr>
      <xdr:spPr>
        <a:xfrm>
          <a:off x="6324270" y="3649324"/>
          <a:ext cx="2505405" cy="452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solidFill>
              <a:latin typeface="+mn-lt"/>
              <a:ea typeface="+mn-ea"/>
              <a:cs typeface="+mn-cs"/>
            </a:rPr>
            <a:t>To know about other cities snowfall click here.</a:t>
          </a:r>
          <a:endParaRPr lang="en-US" sz="1100"/>
        </a:p>
      </xdr:txBody>
    </xdr:sp>
    <xdr:clientData/>
  </xdr:twoCellAnchor>
  <xdr:twoCellAnchor>
    <xdr:from>
      <xdr:col>17</xdr:col>
      <xdr:colOff>533400</xdr:colOff>
      <xdr:row>11</xdr:row>
      <xdr:rowOff>16867</xdr:rowOff>
    </xdr:from>
    <xdr:to>
      <xdr:col>21</xdr:col>
      <xdr:colOff>342900</xdr:colOff>
      <xdr:row>18</xdr:row>
      <xdr:rowOff>66431</xdr:rowOff>
    </xdr:to>
    <xdr:sp macro="" textlink="">
      <xdr:nvSpPr>
        <xdr:cNvPr id="33" name="TextBox 32">
          <a:extLst>
            <a:ext uri="{FF2B5EF4-FFF2-40B4-BE49-F238E27FC236}">
              <a16:creationId xmlns:a16="http://schemas.microsoft.com/office/drawing/2014/main" id="{BDDF9E8B-7C1B-4D8C-ABD0-A779393DD4FA}"/>
            </a:ext>
          </a:extLst>
        </xdr:cNvPr>
        <xdr:cNvSpPr txBox="1"/>
      </xdr:nvSpPr>
      <xdr:spPr>
        <a:xfrm>
          <a:off x="10896600" y="2112367"/>
          <a:ext cx="2247900" cy="1383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800" b="1" i="0" u="none" strike="noStrike" baseline="0">
              <a:solidFill>
                <a:schemeClr val="accent4">
                  <a:lumMod val="60000"/>
                  <a:lumOff val="40000"/>
                </a:schemeClr>
              </a:solidFill>
              <a:latin typeface="Calibri"/>
              <a:ea typeface="Calibri"/>
              <a:cs typeface="Calibri"/>
            </a:rPr>
            <a:t>Denver</a:t>
          </a:r>
          <a:r>
            <a:rPr lang="en-US" sz="1800" b="0" i="0" u="none" strike="noStrike" baseline="0">
              <a:solidFill>
                <a:schemeClr val="bg1"/>
              </a:solidFill>
              <a:latin typeface="Calibri"/>
              <a:ea typeface="Calibri"/>
              <a:cs typeface="Calibri"/>
            </a:rPr>
            <a:t>, CO </a:t>
          </a:r>
          <a:r>
            <a:rPr lang="en-US" sz="1800">
              <a:solidFill>
                <a:schemeClr val="bg1"/>
              </a:solidFill>
            </a:rPr>
            <a:t>experiences the worst unhealthy air quality, with a rating of </a:t>
          </a:r>
          <a:r>
            <a:rPr lang="en-US" sz="1800" b="1">
              <a:solidFill>
                <a:schemeClr val="accent2">
                  <a:lumMod val="75000"/>
                </a:schemeClr>
              </a:solidFill>
            </a:rPr>
            <a:t>2.9</a:t>
          </a:r>
          <a:endParaRPr lang="en-US" sz="1800" b="1" i="0" u="none" strike="noStrike">
            <a:solidFill>
              <a:schemeClr val="accent2">
                <a:lumMod val="75000"/>
              </a:schemeClr>
            </a:solidFill>
            <a:latin typeface="Calibri"/>
            <a:ea typeface="Calibri"/>
            <a:cs typeface="Calibri"/>
          </a:endParaRPr>
        </a:p>
      </xdr:txBody>
    </xdr:sp>
    <xdr:clientData/>
  </xdr:twoCellAnchor>
  <xdr:twoCellAnchor>
    <xdr:from>
      <xdr:col>16</xdr:col>
      <xdr:colOff>221045</xdr:colOff>
      <xdr:row>19</xdr:row>
      <xdr:rowOff>68960</xdr:rowOff>
    </xdr:from>
    <xdr:to>
      <xdr:col>20</xdr:col>
      <xdr:colOff>562303</xdr:colOff>
      <xdr:row>21</xdr:row>
      <xdr:rowOff>130076</xdr:rowOff>
    </xdr:to>
    <xdr:sp macro="" textlink="">
      <xdr:nvSpPr>
        <xdr:cNvPr id="35" name="TextBox 34">
          <a:extLst>
            <a:ext uri="{FF2B5EF4-FFF2-40B4-BE49-F238E27FC236}">
              <a16:creationId xmlns:a16="http://schemas.microsoft.com/office/drawing/2014/main" id="{3AF9049A-4DB8-42FB-A37E-07B1F99C3209}"/>
            </a:ext>
          </a:extLst>
        </xdr:cNvPr>
        <xdr:cNvSpPr txBox="1"/>
      </xdr:nvSpPr>
      <xdr:spPr>
        <a:xfrm>
          <a:off x="9974645" y="3688460"/>
          <a:ext cx="2779658" cy="442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solidFill>
              <a:latin typeface="+mn-lt"/>
              <a:ea typeface="+mn-ea"/>
              <a:cs typeface="+mn-cs"/>
            </a:rPr>
            <a:t>To know about other cities air quality click here. </a:t>
          </a:r>
          <a:endParaRPr lang="en-US" sz="1100"/>
        </a:p>
      </xdr:txBody>
    </xdr:sp>
    <xdr:clientData/>
  </xdr:twoCellAnchor>
  <xdr:twoCellAnchor>
    <xdr:from>
      <xdr:col>8</xdr:col>
      <xdr:colOff>545881</xdr:colOff>
      <xdr:row>19</xdr:row>
      <xdr:rowOff>8929</xdr:rowOff>
    </xdr:from>
    <xdr:to>
      <xdr:col>9</xdr:col>
      <xdr:colOff>270312</xdr:colOff>
      <xdr:row>21</xdr:row>
      <xdr:rowOff>4374</xdr:rowOff>
    </xdr:to>
    <xdr:pic macro="[3]!Board_2">
      <xdr:nvPicPr>
        <xdr:cNvPr id="13" name="Graphic 12" descr="Information with solid fill">
          <a:extLst>
            <a:ext uri="{FF2B5EF4-FFF2-40B4-BE49-F238E27FC236}">
              <a16:creationId xmlns:a16="http://schemas.microsoft.com/office/drawing/2014/main" id="{4088A2C0-7672-D56F-13A8-01D147B997B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422681" y="3628429"/>
          <a:ext cx="334031" cy="376445"/>
        </a:xfrm>
        <a:prstGeom prst="rect">
          <a:avLst/>
        </a:prstGeom>
      </xdr:spPr>
    </xdr:pic>
    <xdr:clientData/>
  </xdr:twoCellAnchor>
  <xdr:twoCellAnchor>
    <xdr:from>
      <xdr:col>14</xdr:col>
      <xdr:colOff>406291</xdr:colOff>
      <xdr:row>18</xdr:row>
      <xdr:rowOff>188154</xdr:rowOff>
    </xdr:from>
    <xdr:to>
      <xdr:col>15</xdr:col>
      <xdr:colOff>149772</xdr:colOff>
      <xdr:row>20</xdr:row>
      <xdr:rowOff>183599</xdr:rowOff>
    </xdr:to>
    <xdr:pic macro="[3]!Board_2">
      <xdr:nvPicPr>
        <xdr:cNvPr id="20" name="Graphic 19" descr="Information with solid fill">
          <a:extLst>
            <a:ext uri="{FF2B5EF4-FFF2-40B4-BE49-F238E27FC236}">
              <a16:creationId xmlns:a16="http://schemas.microsoft.com/office/drawing/2014/main" id="{ADDDFA58-5C7F-4D8F-996D-59A54895B2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940691" y="3617154"/>
          <a:ext cx="353081" cy="376445"/>
        </a:xfrm>
        <a:prstGeom prst="rect">
          <a:avLst/>
        </a:prstGeom>
      </xdr:spPr>
    </xdr:pic>
    <xdr:clientData/>
  </xdr:twoCellAnchor>
  <xdr:twoCellAnchor>
    <xdr:from>
      <xdr:col>20</xdr:col>
      <xdr:colOff>504825</xdr:colOff>
      <xdr:row>18</xdr:row>
      <xdr:rowOff>179861</xdr:rowOff>
    </xdr:from>
    <xdr:to>
      <xdr:col>21</xdr:col>
      <xdr:colOff>248306</xdr:colOff>
      <xdr:row>20</xdr:row>
      <xdr:rowOff>175306</xdr:rowOff>
    </xdr:to>
    <xdr:pic macro="[3]!Board_2">
      <xdr:nvPicPr>
        <xdr:cNvPr id="25" name="Graphic 24" descr="Information with solid fill">
          <a:extLst>
            <a:ext uri="{FF2B5EF4-FFF2-40B4-BE49-F238E27FC236}">
              <a16:creationId xmlns:a16="http://schemas.microsoft.com/office/drawing/2014/main" id="{33E5B00D-555C-4BBD-A914-3EA638F67FE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696825" y="3608861"/>
          <a:ext cx="353081" cy="376445"/>
        </a:xfrm>
        <a:prstGeom prst="rect">
          <a:avLst/>
        </a:prstGeom>
      </xdr:spPr>
    </xdr:pic>
    <xdr:clientData/>
  </xdr:twoCellAnchor>
  <xdr:twoCellAnchor>
    <xdr:from>
      <xdr:col>22</xdr:col>
      <xdr:colOff>219075</xdr:colOff>
      <xdr:row>11</xdr:row>
      <xdr:rowOff>71259</xdr:rowOff>
    </xdr:from>
    <xdr:to>
      <xdr:col>39</xdr:col>
      <xdr:colOff>9525</xdr:colOff>
      <xdr:row>36</xdr:row>
      <xdr:rowOff>175685</xdr:rowOff>
    </xdr:to>
    <xdr:graphicFrame macro="">
      <xdr:nvGraphicFramePr>
        <xdr:cNvPr id="26" name="Local_Tax">
          <a:extLst>
            <a:ext uri="{FF2B5EF4-FFF2-40B4-BE49-F238E27FC236}">
              <a16:creationId xmlns:a16="http://schemas.microsoft.com/office/drawing/2014/main" id="{F6F5BD06-C2D5-5DA8-74AA-E8F32B2CAE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xdr:col>
      <xdr:colOff>276226</xdr:colOff>
      <xdr:row>24</xdr:row>
      <xdr:rowOff>85933</xdr:rowOff>
    </xdr:from>
    <xdr:to>
      <xdr:col>21</xdr:col>
      <xdr:colOff>238126</xdr:colOff>
      <xdr:row>37</xdr:row>
      <xdr:rowOff>81369</xdr:rowOff>
    </xdr:to>
    <xdr:graphicFrame macro="">
      <xdr:nvGraphicFramePr>
        <xdr:cNvPr id="29" name="Weekly_Earnings">
          <a:extLst>
            <a:ext uri="{FF2B5EF4-FFF2-40B4-BE49-F238E27FC236}">
              <a16:creationId xmlns:a16="http://schemas.microsoft.com/office/drawing/2014/main" id="{0599395F-489C-F77E-F21A-4C56F1227D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300036</xdr:colOff>
      <xdr:row>38</xdr:row>
      <xdr:rowOff>169805</xdr:rowOff>
    </xdr:from>
    <xdr:to>
      <xdr:col>21</xdr:col>
      <xdr:colOff>219075</xdr:colOff>
      <xdr:row>51</xdr:row>
      <xdr:rowOff>126766</xdr:rowOff>
    </xdr:to>
    <xdr:graphicFrame macro="">
      <xdr:nvGraphicFramePr>
        <xdr:cNvPr id="36" name="Chart 5">
          <a:extLst>
            <a:ext uri="{FF2B5EF4-FFF2-40B4-BE49-F238E27FC236}">
              <a16:creationId xmlns:a16="http://schemas.microsoft.com/office/drawing/2014/main" id="{87EF3F0B-E3A4-1789-1387-D46F27F355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35</xdr:col>
      <xdr:colOff>352424</xdr:colOff>
      <xdr:row>1</xdr:row>
      <xdr:rowOff>33338</xdr:rowOff>
    </xdr:from>
    <xdr:to>
      <xdr:col>39</xdr:col>
      <xdr:colOff>266699</xdr:colOff>
      <xdr:row>9</xdr:row>
      <xdr:rowOff>67523</xdr:rowOff>
    </xdr:to>
    <xdr:sp macro="" textlink="'Data Table'!B39">
      <xdr:nvSpPr>
        <xdr:cNvPr id="37" name="TextBox 36">
          <a:extLst>
            <a:ext uri="{FF2B5EF4-FFF2-40B4-BE49-F238E27FC236}">
              <a16:creationId xmlns:a16="http://schemas.microsoft.com/office/drawing/2014/main" id="{99AE7F70-6849-BD67-D998-915C76F3A045}"/>
            </a:ext>
          </a:extLst>
        </xdr:cNvPr>
        <xdr:cNvSpPr txBox="1"/>
      </xdr:nvSpPr>
      <xdr:spPr>
        <a:xfrm>
          <a:off x="21688424" y="223838"/>
          <a:ext cx="2352675" cy="1558185"/>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ctr"/>
        <a:lstStyle/>
        <a:p>
          <a:pPr algn="l"/>
          <a:fld id="{D6247DE5-1BF8-40B2-8761-A17182E92471}" type="TxLink">
            <a:rPr lang="en-US" sz="4400" b="1" i="0" u="none" strike="noStrike" cap="none" spc="50">
              <a:ln w="0"/>
              <a:solidFill>
                <a:schemeClr val="bg1"/>
              </a:solidFill>
              <a:effectLst>
                <a:innerShdw blurRad="63500" dist="50800" dir="13500000">
                  <a:srgbClr val="000000">
                    <a:alpha val="50000"/>
                  </a:srgbClr>
                </a:innerShdw>
              </a:effectLst>
              <a:latin typeface="Calibri"/>
              <a:ea typeface="Calibri"/>
              <a:cs typeface="Calibri"/>
            </a:rPr>
            <a:pPr algn="l"/>
            <a:t>Click on Any City</a:t>
          </a:fld>
          <a:endParaRPr lang="en-US" sz="28700" b="1" cap="none" spc="50">
            <a:ln w="0"/>
            <a:solidFill>
              <a:schemeClr val="bg1"/>
            </a:solidFill>
            <a:effectLst>
              <a:innerShdw blurRad="63500" dist="50800" dir="13500000">
                <a:srgbClr val="000000">
                  <a:alpha val="50000"/>
                </a:srgbClr>
              </a:innerShdw>
            </a:effectLst>
          </a:endParaRPr>
        </a:p>
      </xdr:txBody>
    </xdr:sp>
    <xdr:clientData/>
  </xdr:twoCellAnchor>
  <xdr:twoCellAnchor>
    <xdr:from>
      <xdr:col>22</xdr:col>
      <xdr:colOff>238124</xdr:colOff>
      <xdr:row>38</xdr:row>
      <xdr:rowOff>150566</xdr:rowOff>
    </xdr:from>
    <xdr:to>
      <xdr:col>39</xdr:col>
      <xdr:colOff>238125</xdr:colOff>
      <xdr:row>52</xdr:row>
      <xdr:rowOff>22832</xdr:rowOff>
    </xdr:to>
    <xdr:graphicFrame macro="">
      <xdr:nvGraphicFramePr>
        <xdr:cNvPr id="8" name="Earning_Index">
          <a:extLst>
            <a:ext uri="{FF2B5EF4-FFF2-40B4-BE49-F238E27FC236}">
              <a16:creationId xmlns:a16="http://schemas.microsoft.com/office/drawing/2014/main" id="{615D4BB0-80C8-B6BA-0487-99DD09D94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8325</xdr:colOff>
      <xdr:row>2</xdr:row>
      <xdr:rowOff>107344</xdr:rowOff>
    </xdr:from>
    <xdr:to>
      <xdr:col>8</xdr:col>
      <xdr:colOff>560013</xdr:colOff>
      <xdr:row>8</xdr:row>
      <xdr:rowOff>137023</xdr:rowOff>
    </xdr:to>
    <xdr:pic>
      <xdr:nvPicPr>
        <xdr:cNvPr id="10" name="Graphic 9" descr="Home1 with solid fill">
          <a:extLst>
            <a:ext uri="{FF2B5EF4-FFF2-40B4-BE49-F238E27FC236}">
              <a16:creationId xmlns:a16="http://schemas.microsoft.com/office/drawing/2014/main" id="{F918B34A-25DD-6B03-B491-240B8304D34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275525" y="488344"/>
          <a:ext cx="1161288" cy="1172679"/>
        </a:xfrm>
        <a:prstGeom prst="rect">
          <a:avLst/>
        </a:prstGeom>
      </xdr:spPr>
    </xdr:pic>
    <xdr:clientData/>
  </xdr:twoCellAnchor>
  <xdr:twoCellAnchor>
    <xdr:from>
      <xdr:col>1</xdr:col>
      <xdr:colOff>47625</xdr:colOff>
      <xdr:row>4</xdr:row>
      <xdr:rowOff>0</xdr:rowOff>
    </xdr:from>
    <xdr:to>
      <xdr:col>3</xdr:col>
      <xdr:colOff>66675</xdr:colOff>
      <xdr:row>9</xdr:row>
      <xdr:rowOff>142875</xdr:rowOff>
    </xdr:to>
    <xdr:sp macro="" textlink="">
      <xdr:nvSpPr>
        <xdr:cNvPr id="41" name="Rectangle 40">
          <a:extLst>
            <a:ext uri="{FF2B5EF4-FFF2-40B4-BE49-F238E27FC236}">
              <a16:creationId xmlns:a16="http://schemas.microsoft.com/office/drawing/2014/main" id="{C3B892B5-C9F9-6094-9840-07000483FC19}"/>
            </a:ext>
          </a:extLst>
        </xdr:cNvPr>
        <xdr:cNvSpPr/>
      </xdr:nvSpPr>
      <xdr:spPr>
        <a:xfrm>
          <a:off x="657225" y="762000"/>
          <a:ext cx="1238250" cy="10953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511950</xdr:colOff>
      <xdr:row>2</xdr:row>
      <xdr:rowOff>107344</xdr:rowOff>
    </xdr:from>
    <xdr:to>
      <xdr:col>6</xdr:col>
      <xdr:colOff>454038</xdr:colOff>
      <xdr:row>8</xdr:row>
      <xdr:rowOff>137023</xdr:rowOff>
    </xdr:to>
    <xdr:pic>
      <xdr:nvPicPr>
        <xdr:cNvPr id="14" name="Graphic 13" descr="City with solid fill">
          <a:extLst>
            <a:ext uri="{FF2B5EF4-FFF2-40B4-BE49-F238E27FC236}">
              <a16:creationId xmlns:a16="http://schemas.microsoft.com/office/drawing/2014/main" id="{D9B6334B-D9C1-5332-381B-D2DC446B881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2950350" y="488344"/>
          <a:ext cx="1161288" cy="1172679"/>
        </a:xfrm>
        <a:prstGeom prst="rect">
          <a:avLst/>
        </a:prstGeom>
      </xdr:spPr>
    </xdr:pic>
    <xdr:clientData/>
  </xdr:twoCellAnchor>
  <xdr:twoCellAnchor editAs="oneCell">
    <xdr:from>
      <xdr:col>9</xdr:col>
      <xdr:colOff>114300</xdr:colOff>
      <xdr:row>2</xdr:row>
      <xdr:rowOff>107344</xdr:rowOff>
    </xdr:from>
    <xdr:to>
      <xdr:col>11</xdr:col>
      <xdr:colOff>56388</xdr:colOff>
      <xdr:row>8</xdr:row>
      <xdr:rowOff>125632</xdr:rowOff>
    </xdr:to>
    <xdr:pic>
      <xdr:nvPicPr>
        <xdr:cNvPr id="24" name="Graphic 23" descr="Earth globe: Americas with solid fill">
          <a:extLst>
            <a:ext uri="{FF2B5EF4-FFF2-40B4-BE49-F238E27FC236}">
              <a16:creationId xmlns:a16="http://schemas.microsoft.com/office/drawing/2014/main" id="{FF3ECAB0-46A6-92FD-477F-0846A6AEB36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5600700" y="488344"/>
          <a:ext cx="1161288" cy="11612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11</xdr:row>
      <xdr:rowOff>0</xdr:rowOff>
    </xdr:from>
    <xdr:to>
      <xdr:col>16</xdr:col>
      <xdr:colOff>219075</xdr:colOff>
      <xdr:row>49</xdr:row>
      <xdr:rowOff>0</xdr:rowOff>
    </xdr:to>
    <xdr:sp macro="" textlink="">
      <xdr:nvSpPr>
        <xdr:cNvPr id="79" name="Rectangle: Rounded Corners 1">
          <a:extLst>
            <a:ext uri="{FF2B5EF4-FFF2-40B4-BE49-F238E27FC236}">
              <a16:creationId xmlns:a16="http://schemas.microsoft.com/office/drawing/2014/main" id="{370E9D7A-81BD-C842-A9A4-09A4630A5DD1}"/>
            </a:ext>
          </a:extLst>
        </xdr:cNvPr>
        <xdr:cNvSpPr/>
      </xdr:nvSpPr>
      <xdr:spPr>
        <a:xfrm>
          <a:off x="371475" y="2095500"/>
          <a:ext cx="9601200" cy="723900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323849</xdr:colOff>
      <xdr:row>11</xdr:row>
      <xdr:rowOff>0</xdr:rowOff>
    </xdr:from>
    <xdr:to>
      <xdr:col>34</xdr:col>
      <xdr:colOff>171449</xdr:colOff>
      <xdr:row>28</xdr:row>
      <xdr:rowOff>123825</xdr:rowOff>
    </xdr:to>
    <xdr:sp macro="" textlink="">
      <xdr:nvSpPr>
        <xdr:cNvPr id="80" name="Rectangle: Rounded Corners 2">
          <a:extLst>
            <a:ext uri="{FF2B5EF4-FFF2-40B4-BE49-F238E27FC236}">
              <a16:creationId xmlns:a16="http://schemas.microsoft.com/office/drawing/2014/main" id="{384DF00A-7600-F26C-D238-DA6D17624316}"/>
            </a:ext>
          </a:extLst>
        </xdr:cNvPr>
        <xdr:cNvSpPr/>
      </xdr:nvSpPr>
      <xdr:spPr>
        <a:xfrm>
          <a:off x="11296649" y="2095500"/>
          <a:ext cx="9601200" cy="3362325"/>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323849</xdr:colOff>
      <xdr:row>31</xdr:row>
      <xdr:rowOff>66675</xdr:rowOff>
    </xdr:from>
    <xdr:to>
      <xdr:col>34</xdr:col>
      <xdr:colOff>171449</xdr:colOff>
      <xdr:row>49</xdr:row>
      <xdr:rowOff>0</xdr:rowOff>
    </xdr:to>
    <xdr:sp macro="" textlink="">
      <xdr:nvSpPr>
        <xdr:cNvPr id="81" name="Rectangle: Rounded Corners 3">
          <a:extLst>
            <a:ext uri="{FF2B5EF4-FFF2-40B4-BE49-F238E27FC236}">
              <a16:creationId xmlns:a16="http://schemas.microsoft.com/office/drawing/2014/main" id="{38CECC58-0EA1-4BE6-B97A-2A0B25885F19}"/>
            </a:ext>
          </a:extLst>
        </xdr:cNvPr>
        <xdr:cNvSpPr/>
      </xdr:nvSpPr>
      <xdr:spPr>
        <a:xfrm>
          <a:off x="11296649" y="5972175"/>
          <a:ext cx="9601200" cy="3362325"/>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592092</xdr:colOff>
      <xdr:row>1</xdr:row>
      <xdr:rowOff>28575</xdr:rowOff>
    </xdr:from>
    <xdr:to>
      <xdr:col>26</xdr:col>
      <xdr:colOff>257175</xdr:colOff>
      <xdr:row>8</xdr:row>
      <xdr:rowOff>171450</xdr:rowOff>
    </xdr:to>
    <xdr:sp macro="" textlink="">
      <xdr:nvSpPr>
        <xdr:cNvPr id="76" name="Rectangle: Rounded Corners 4">
          <a:extLst>
            <a:ext uri="{FF2B5EF4-FFF2-40B4-BE49-F238E27FC236}">
              <a16:creationId xmlns:a16="http://schemas.microsoft.com/office/drawing/2014/main" id="{AA07F12C-5272-238E-DD18-7B130F8B10C3}"/>
            </a:ext>
          </a:extLst>
        </xdr:cNvPr>
        <xdr:cNvSpPr/>
      </xdr:nvSpPr>
      <xdr:spPr>
        <a:xfrm>
          <a:off x="2420892" y="219075"/>
          <a:ext cx="13685883" cy="1476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270306</xdr:colOff>
      <xdr:row>2</xdr:row>
      <xdr:rowOff>76200</xdr:rowOff>
    </xdr:from>
    <xdr:to>
      <xdr:col>26</xdr:col>
      <xdr:colOff>219076</xdr:colOff>
      <xdr:row>7</xdr:row>
      <xdr:rowOff>95250</xdr:rowOff>
    </xdr:to>
    <xdr:sp macro="" textlink="">
      <xdr:nvSpPr>
        <xdr:cNvPr id="78" name="TextBox 5">
          <a:extLst>
            <a:ext uri="{FF2B5EF4-FFF2-40B4-BE49-F238E27FC236}">
              <a16:creationId xmlns:a16="http://schemas.microsoft.com/office/drawing/2014/main" id="{65A00E8B-7B92-5947-8208-D912D3601C1A}"/>
            </a:ext>
          </a:extLst>
        </xdr:cNvPr>
        <xdr:cNvSpPr txBox="1"/>
      </xdr:nvSpPr>
      <xdr:spPr>
        <a:xfrm>
          <a:off x="2708706" y="457200"/>
          <a:ext cx="13359970" cy="971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7200" b="1" cap="none" spc="0">
              <a:ln w="12700">
                <a:solidFill>
                  <a:schemeClr val="accent5"/>
                </a:solidFill>
                <a:prstDash val="solid"/>
              </a:ln>
              <a:pattFill prst="ltDnDiag">
                <a:fgClr>
                  <a:schemeClr val="accent5">
                    <a:lumMod val="60000"/>
                    <a:lumOff val="40000"/>
                  </a:schemeClr>
                </a:fgClr>
                <a:bgClr>
                  <a:schemeClr val="bg1"/>
                </a:bgClr>
              </a:pattFill>
              <a:effectLst/>
            </a:rPr>
            <a:t>Environmental</a:t>
          </a:r>
          <a:r>
            <a:rPr lang="en-US" sz="7200" b="1" cap="none" spc="0" baseline="0">
              <a:ln w="12700">
                <a:solidFill>
                  <a:schemeClr val="accent5"/>
                </a:solidFill>
                <a:prstDash val="solid"/>
              </a:ln>
              <a:pattFill prst="ltDnDiag">
                <a:fgClr>
                  <a:schemeClr val="accent5">
                    <a:lumMod val="60000"/>
                    <a:lumOff val="40000"/>
                  </a:schemeClr>
                </a:fgClr>
                <a:bgClr>
                  <a:schemeClr val="bg1"/>
                </a:bgClr>
              </a:pattFill>
              <a:effectLst/>
            </a:rPr>
            <a:t> Insights Dashboard</a:t>
          </a:r>
          <a:endParaRPr lang="en-US" sz="7200" b="1" cap="none" spc="0">
            <a:ln w="12700">
              <a:solidFill>
                <a:schemeClr val="accent5"/>
              </a:solidFill>
              <a:prstDash val="solid"/>
            </a:ln>
            <a:pattFill prst="ltDnDiag">
              <a:fgClr>
                <a:schemeClr val="accent5">
                  <a:lumMod val="60000"/>
                  <a:lumOff val="40000"/>
                </a:schemeClr>
              </a:fgClr>
              <a:bgClr>
                <a:schemeClr val="bg1"/>
              </a:bgClr>
            </a:pattFill>
            <a:effectLst/>
          </a:endParaRPr>
        </a:p>
      </xdr:txBody>
    </xdr:sp>
    <xdr:clientData/>
  </xdr:twoCellAnchor>
  <xdr:twoCellAnchor>
    <xdr:from>
      <xdr:col>1</xdr:col>
      <xdr:colOff>47625</xdr:colOff>
      <xdr:row>13</xdr:row>
      <xdr:rowOff>73343</xdr:rowOff>
    </xdr:from>
    <xdr:to>
      <xdr:col>15</xdr:col>
      <xdr:colOff>476250</xdr:colOff>
      <xdr:row>47</xdr:row>
      <xdr:rowOff>19050</xdr:rowOff>
    </xdr:to>
    <mc:AlternateContent xmlns:mc="http://schemas.openxmlformats.org/markup-compatibility/2006">
      <mc:Choice xmlns:cx4="http://schemas.microsoft.com/office/drawing/2016/5/10/chartex" Requires="cx4">
        <xdr:graphicFrame macro="">
          <xdr:nvGraphicFramePr>
            <xdr:cNvPr id="99" name="Chart 2">
              <a:extLst>
                <a:ext uri="{FF2B5EF4-FFF2-40B4-BE49-F238E27FC236}">
                  <a16:creationId xmlns:a16="http://schemas.microsoft.com/office/drawing/2014/main" id="{942AA382-5E7C-9AF7-929F-E2D4D4D1ED3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6125" y="2549843"/>
              <a:ext cx="10207625" cy="64227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444103</xdr:colOff>
      <xdr:row>12</xdr:row>
      <xdr:rowOff>79771</xdr:rowOff>
    </xdr:from>
    <xdr:to>
      <xdr:col>34</xdr:col>
      <xdr:colOff>85724</xdr:colOff>
      <xdr:row>26</xdr:row>
      <xdr:rowOff>142875</xdr:rowOff>
    </xdr:to>
    <xdr:graphicFrame macro="">
      <xdr:nvGraphicFramePr>
        <xdr:cNvPr id="97" name="Chart 1">
          <a:extLst>
            <a:ext uri="{FF2B5EF4-FFF2-40B4-BE49-F238E27FC236}">
              <a16:creationId xmlns:a16="http://schemas.microsoft.com/office/drawing/2014/main" id="{C9DE1C8E-D6A1-A40F-779D-9296F5DA33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483395</xdr:colOff>
      <xdr:row>32</xdr:row>
      <xdr:rowOff>107157</xdr:rowOff>
    </xdr:from>
    <xdr:to>
      <xdr:col>34</xdr:col>
      <xdr:colOff>38101</xdr:colOff>
      <xdr:row>47</xdr:row>
      <xdr:rowOff>147637</xdr:rowOff>
    </xdr:to>
    <xdr:graphicFrame macro="">
      <xdr:nvGraphicFramePr>
        <xdr:cNvPr id="100" name="Chart 1">
          <a:extLst>
            <a:ext uri="{FF2B5EF4-FFF2-40B4-BE49-F238E27FC236}">
              <a16:creationId xmlns:a16="http://schemas.microsoft.com/office/drawing/2014/main" id="{C9C5B29F-4C3F-3A33-0DEC-8C6A60DBEB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28</xdr:col>
      <xdr:colOff>266699</xdr:colOff>
      <xdr:row>1</xdr:row>
      <xdr:rowOff>28575</xdr:rowOff>
    </xdr:from>
    <xdr:to>
      <xdr:col>30</xdr:col>
      <xdr:colOff>600074</xdr:colOff>
      <xdr:row>9</xdr:row>
      <xdr:rowOff>57150</xdr:rowOff>
    </xdr:to>
    <xdr:pic macro="[3]!Main_Dashboard">
      <xdr:nvPicPr>
        <xdr:cNvPr id="11" name="Graphic 10" descr="Presentation with pie chart with solid fill">
          <a:extLst>
            <a:ext uri="{FF2B5EF4-FFF2-40B4-BE49-F238E27FC236}">
              <a16:creationId xmlns:a16="http://schemas.microsoft.com/office/drawing/2014/main" id="{4AFD867E-0540-9E29-0098-95CD2819E8C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335499" y="219075"/>
          <a:ext cx="1552575" cy="15525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414340</xdr:colOff>
      <xdr:row>9</xdr:row>
      <xdr:rowOff>33339</xdr:rowOff>
    </xdr:from>
    <xdr:to>
      <xdr:col>7</xdr:col>
      <xdr:colOff>2471738</xdr:colOff>
      <xdr:row>9</xdr:row>
      <xdr:rowOff>319089</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32E1C5D2-5B08-51C0-D0FA-868E6B1FA505}"/>
            </a:ext>
          </a:extLst>
        </xdr:cNvPr>
        <xdr:cNvSpPr/>
      </xdr:nvSpPr>
      <xdr:spPr>
        <a:xfrm>
          <a:off x="9101140" y="1033464"/>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View Linkedin</a:t>
          </a:r>
        </a:p>
      </xdr:txBody>
    </xdr:sp>
    <xdr:clientData/>
  </xdr:twoCellAnchor>
  <xdr:twoCellAnchor>
    <xdr:from>
      <xdr:col>7</xdr:col>
      <xdr:colOff>409575</xdr:colOff>
      <xdr:row>10</xdr:row>
      <xdr:rowOff>47625</xdr:rowOff>
    </xdr:from>
    <xdr:to>
      <xdr:col>7</xdr:col>
      <xdr:colOff>2466973</xdr:colOff>
      <xdr:row>10</xdr:row>
      <xdr:rowOff>333375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8D38F1E3-4ABE-435D-AC82-F12982CD53A3}"/>
            </a:ext>
          </a:extLst>
        </xdr:cNvPr>
        <xdr:cNvSpPr/>
      </xdr:nvSpPr>
      <xdr:spPr>
        <a:xfrm>
          <a:off x="9096375" y="1409700"/>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View Linkedin</a:t>
          </a:r>
        </a:p>
      </xdr:txBody>
    </xdr:sp>
    <xdr:clientData/>
  </xdr:twoCellAnchor>
  <xdr:twoCellAnchor>
    <xdr:from>
      <xdr:col>7</xdr:col>
      <xdr:colOff>400050</xdr:colOff>
      <xdr:row>11</xdr:row>
      <xdr:rowOff>38100</xdr:rowOff>
    </xdr:from>
    <xdr:to>
      <xdr:col>7</xdr:col>
      <xdr:colOff>2457448</xdr:colOff>
      <xdr:row>11</xdr:row>
      <xdr:rowOff>323850</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88EF8A3B-D2E0-448D-8BF5-AD92CA29FAFD}"/>
            </a:ext>
          </a:extLst>
        </xdr:cNvPr>
        <xdr:cNvSpPr/>
      </xdr:nvSpPr>
      <xdr:spPr>
        <a:xfrm>
          <a:off x="9086850" y="1762125"/>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View Linkedin</a:t>
          </a:r>
        </a:p>
      </xdr:txBody>
    </xdr:sp>
    <xdr:clientData/>
  </xdr:twoCellAnchor>
  <xdr:twoCellAnchor>
    <xdr:from>
      <xdr:col>7</xdr:col>
      <xdr:colOff>400050</xdr:colOff>
      <xdr:row>12</xdr:row>
      <xdr:rowOff>57150</xdr:rowOff>
    </xdr:from>
    <xdr:to>
      <xdr:col>7</xdr:col>
      <xdr:colOff>2457448</xdr:colOff>
      <xdr:row>12</xdr:row>
      <xdr:rowOff>342900</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393408A4-E72F-4426-92F9-EFE16D434A1D}"/>
            </a:ext>
          </a:extLst>
        </xdr:cNvPr>
        <xdr:cNvSpPr/>
      </xdr:nvSpPr>
      <xdr:spPr>
        <a:xfrm>
          <a:off x="9086850" y="2143125"/>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View Linkedin</a:t>
          </a:r>
        </a:p>
      </xdr:txBody>
    </xdr:sp>
    <xdr:clientData/>
  </xdr:twoCellAnchor>
  <xdr:twoCellAnchor>
    <xdr:from>
      <xdr:col>6</xdr:col>
      <xdr:colOff>47625</xdr:colOff>
      <xdr:row>9</xdr:row>
      <xdr:rowOff>57150</xdr:rowOff>
    </xdr:from>
    <xdr:to>
      <xdr:col>6</xdr:col>
      <xdr:colOff>2105023</xdr:colOff>
      <xdr:row>9</xdr:row>
      <xdr:rowOff>342900</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886B52C8-25EC-4EB0-A4FB-5C4C217CE39E}"/>
            </a:ext>
          </a:extLst>
        </xdr:cNvPr>
        <xdr:cNvSpPr/>
      </xdr:nvSpPr>
      <xdr:spPr>
        <a:xfrm>
          <a:off x="6591300" y="1057275"/>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Send</a:t>
          </a:r>
          <a:r>
            <a:rPr lang="en-US" sz="1400" b="1" baseline="0">
              <a:solidFill>
                <a:sysClr val="windowText" lastClr="000000"/>
              </a:solidFill>
            </a:rPr>
            <a:t> Email</a:t>
          </a:r>
          <a:endParaRPr lang="en-US" sz="1400" b="1">
            <a:solidFill>
              <a:sysClr val="windowText" lastClr="000000"/>
            </a:solidFill>
          </a:endParaRPr>
        </a:p>
      </xdr:txBody>
    </xdr:sp>
    <xdr:clientData/>
  </xdr:twoCellAnchor>
  <xdr:twoCellAnchor>
    <xdr:from>
      <xdr:col>6</xdr:col>
      <xdr:colOff>47625</xdr:colOff>
      <xdr:row>10</xdr:row>
      <xdr:rowOff>47625</xdr:rowOff>
    </xdr:from>
    <xdr:to>
      <xdr:col>6</xdr:col>
      <xdr:colOff>2105023</xdr:colOff>
      <xdr:row>10</xdr:row>
      <xdr:rowOff>333375</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61AD8900-DD90-439D-88CD-9149B7677151}"/>
            </a:ext>
          </a:extLst>
        </xdr:cNvPr>
        <xdr:cNvSpPr/>
      </xdr:nvSpPr>
      <xdr:spPr>
        <a:xfrm>
          <a:off x="6591300" y="1409700"/>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Send</a:t>
          </a:r>
          <a:r>
            <a:rPr lang="en-US" sz="1400" b="1" baseline="0">
              <a:solidFill>
                <a:sysClr val="windowText" lastClr="000000"/>
              </a:solidFill>
            </a:rPr>
            <a:t> Email</a:t>
          </a:r>
          <a:endParaRPr lang="en-US" sz="1400" b="1">
            <a:solidFill>
              <a:sysClr val="windowText" lastClr="000000"/>
            </a:solidFill>
          </a:endParaRPr>
        </a:p>
      </xdr:txBody>
    </xdr:sp>
    <xdr:clientData/>
  </xdr:twoCellAnchor>
  <xdr:twoCellAnchor>
    <xdr:from>
      <xdr:col>6</xdr:col>
      <xdr:colOff>47625</xdr:colOff>
      <xdr:row>11</xdr:row>
      <xdr:rowOff>38100</xdr:rowOff>
    </xdr:from>
    <xdr:to>
      <xdr:col>6</xdr:col>
      <xdr:colOff>2105023</xdr:colOff>
      <xdr:row>11</xdr:row>
      <xdr:rowOff>323850</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AC6BDF27-0A82-4AC3-A241-A21816596C05}"/>
            </a:ext>
          </a:extLst>
        </xdr:cNvPr>
        <xdr:cNvSpPr/>
      </xdr:nvSpPr>
      <xdr:spPr>
        <a:xfrm>
          <a:off x="6591300" y="1762125"/>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Send</a:t>
          </a:r>
          <a:r>
            <a:rPr lang="en-US" sz="1400" b="1" baseline="0">
              <a:solidFill>
                <a:sysClr val="windowText" lastClr="000000"/>
              </a:solidFill>
            </a:rPr>
            <a:t> Email</a:t>
          </a:r>
          <a:endParaRPr lang="en-US" sz="1400" b="1">
            <a:solidFill>
              <a:sysClr val="windowText" lastClr="000000"/>
            </a:solidFill>
          </a:endParaRPr>
        </a:p>
      </xdr:txBody>
    </xdr:sp>
    <xdr:clientData/>
  </xdr:twoCellAnchor>
  <xdr:twoCellAnchor>
    <xdr:from>
      <xdr:col>6</xdr:col>
      <xdr:colOff>38100</xdr:colOff>
      <xdr:row>12</xdr:row>
      <xdr:rowOff>47625</xdr:rowOff>
    </xdr:from>
    <xdr:to>
      <xdr:col>6</xdr:col>
      <xdr:colOff>2095498</xdr:colOff>
      <xdr:row>12</xdr:row>
      <xdr:rowOff>333375</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FFA94A3-8FDA-4B87-9612-E1777B89D4AA}"/>
            </a:ext>
          </a:extLst>
        </xdr:cNvPr>
        <xdr:cNvSpPr/>
      </xdr:nvSpPr>
      <xdr:spPr>
        <a:xfrm>
          <a:off x="6581775" y="2133600"/>
          <a:ext cx="2057398" cy="285750"/>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Send</a:t>
          </a:r>
          <a:r>
            <a:rPr lang="en-US" sz="1400" b="1" baseline="0">
              <a:solidFill>
                <a:sysClr val="windowText" lastClr="000000"/>
              </a:solidFill>
            </a:rPr>
            <a:t> Email</a:t>
          </a:r>
          <a:endParaRPr lang="en-US" sz="1400" b="1">
            <a:solidFill>
              <a:sysClr val="windowText" lastClr="000000"/>
            </a:solidFill>
          </a:endParaRPr>
        </a:p>
      </xdr:txBody>
    </xdr:sp>
    <xdr:clientData/>
  </xdr:twoCellAnchor>
  <xdr:twoCellAnchor editAs="oneCell">
    <xdr:from>
      <xdr:col>11</xdr:col>
      <xdr:colOff>0</xdr:colOff>
      <xdr:row>6</xdr:row>
      <xdr:rowOff>0</xdr:rowOff>
    </xdr:from>
    <xdr:to>
      <xdr:col>13</xdr:col>
      <xdr:colOff>333375</xdr:colOff>
      <xdr:row>10</xdr:row>
      <xdr:rowOff>323850</xdr:rowOff>
    </xdr:to>
    <xdr:pic macro="[3]!Main_Dashboard">
      <xdr:nvPicPr>
        <xdr:cNvPr id="5" name="Graphic 4" descr="Presentation with pie chart with solid fill">
          <a:extLst>
            <a:ext uri="{FF2B5EF4-FFF2-40B4-BE49-F238E27FC236}">
              <a16:creationId xmlns:a16="http://schemas.microsoft.com/office/drawing/2014/main" id="{CB5BCDA4-842A-498E-821A-EE2F1CF7249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220700" y="790575"/>
          <a:ext cx="1552575" cy="1552575"/>
        </a:xfrm>
        <a:prstGeom prst="rect">
          <a:avLst/>
        </a:prstGeom>
      </xdr:spPr>
    </xdr:pic>
    <xdr:clientData/>
  </xdr:twoCellAnchor>
  <xdr:oneCellAnchor>
    <xdr:from>
      <xdr:col>10</xdr:col>
      <xdr:colOff>104775</xdr:colOff>
      <xdr:row>16</xdr:row>
      <xdr:rowOff>21450</xdr:rowOff>
    </xdr:from>
    <xdr:ext cx="2676932" cy="2209799"/>
    <xdr:sp macro="" textlink="">
      <xdr:nvSpPr>
        <xdr:cNvPr id="12" name="Rectangle 11">
          <a:extLst>
            <a:ext uri="{FF2B5EF4-FFF2-40B4-BE49-F238E27FC236}">
              <a16:creationId xmlns:a16="http://schemas.microsoft.com/office/drawing/2014/main" id="{8A785783-2759-41CE-B289-4AF5534B4546}"/>
            </a:ext>
          </a:extLst>
        </xdr:cNvPr>
        <xdr:cNvSpPr/>
      </xdr:nvSpPr>
      <xdr:spPr>
        <a:xfrm>
          <a:off x="12715875" y="3679050"/>
          <a:ext cx="2676932" cy="2209799"/>
        </a:xfrm>
        <a:prstGeom prst="rect">
          <a:avLst/>
        </a:prstGeom>
        <a:noFill/>
        <a:ln>
          <a:solidFill>
            <a:sysClr val="windowText" lastClr="000000"/>
          </a:solidFill>
        </a:ln>
      </xdr:spPr>
      <xdr:txBody>
        <a:bodyPr wrap="square" lIns="91440" tIns="45720" rIns="91440" bIns="45720">
          <a:noAutofit/>
        </a:bodyPr>
        <a:lstStyle/>
        <a:p>
          <a:pPr algn="ctr"/>
          <a:r>
            <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To Go to Main</a:t>
          </a:r>
          <a:r>
            <a:rPr lang="en-US" sz="40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Dashboard</a:t>
          </a:r>
          <a:endPar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editAs="oneCell">
    <xdr:from>
      <xdr:col>12</xdr:col>
      <xdr:colOff>369482</xdr:colOff>
      <xdr:row>11</xdr:row>
      <xdr:rowOff>257175</xdr:rowOff>
    </xdr:from>
    <xdr:to>
      <xdr:col>14</xdr:col>
      <xdr:colOff>64682</xdr:colOff>
      <xdr:row>15</xdr:row>
      <xdr:rowOff>85725</xdr:rowOff>
    </xdr:to>
    <xdr:pic>
      <xdr:nvPicPr>
        <xdr:cNvPr id="13" name="Graphic 12" descr="Chevron arrows with solid fill">
          <a:extLst>
            <a:ext uri="{FF2B5EF4-FFF2-40B4-BE49-F238E27FC236}">
              <a16:creationId xmlns:a16="http://schemas.microsoft.com/office/drawing/2014/main" id="{8C795FE9-7475-43ED-9575-A42E510DD21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6200000">
          <a:off x="14199782" y="2638425"/>
          <a:ext cx="914400" cy="914400"/>
        </a:xfrm>
        <a:prstGeom prst="rect">
          <a:avLst/>
        </a:prstGeom>
      </xdr:spPr>
    </xdr:pic>
    <xdr:clientData/>
  </xdr:twoCellAnchor>
  <xdr:twoCellAnchor editAs="oneCell">
    <xdr:from>
      <xdr:col>10</xdr:col>
      <xdr:colOff>217082</xdr:colOff>
      <xdr:row>11</xdr:row>
      <xdr:rowOff>276225</xdr:rowOff>
    </xdr:from>
    <xdr:to>
      <xdr:col>11</xdr:col>
      <xdr:colOff>521882</xdr:colOff>
      <xdr:row>15</xdr:row>
      <xdr:rowOff>104775</xdr:rowOff>
    </xdr:to>
    <xdr:pic>
      <xdr:nvPicPr>
        <xdr:cNvPr id="14" name="Graphic 13" descr="Chevron arrows with solid fill">
          <a:extLst>
            <a:ext uri="{FF2B5EF4-FFF2-40B4-BE49-F238E27FC236}">
              <a16:creationId xmlns:a16="http://schemas.microsoft.com/office/drawing/2014/main" id="{2FA713C2-6901-414A-955B-8CD481E57EF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6200000">
          <a:off x="12828182" y="2657475"/>
          <a:ext cx="914400" cy="914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10</xdr:row>
      <xdr:rowOff>4763</xdr:rowOff>
    </xdr:from>
    <xdr:to>
      <xdr:col>7</xdr:col>
      <xdr:colOff>2200273</xdr:colOff>
      <xdr:row>10</xdr:row>
      <xdr:rowOff>280988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09C669D-5F03-46D6-8026-38C51AB7E287}"/>
            </a:ext>
          </a:extLst>
        </xdr:cNvPr>
        <xdr:cNvSpPr/>
      </xdr:nvSpPr>
      <xdr:spPr>
        <a:xfrm>
          <a:off x="4319588" y="1223963"/>
          <a:ext cx="2200273"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11</xdr:row>
      <xdr:rowOff>0</xdr:rowOff>
    </xdr:from>
    <xdr:to>
      <xdr:col>8</xdr:col>
      <xdr:colOff>1</xdr:colOff>
      <xdr:row>11</xdr:row>
      <xdr:rowOff>276225</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E2B611BC-9653-42F1-BFF0-3933F52196C3}"/>
            </a:ext>
          </a:extLst>
        </xdr:cNvPr>
        <xdr:cNvSpPr/>
      </xdr:nvSpPr>
      <xdr:spPr>
        <a:xfrm>
          <a:off x="4319588" y="1504950"/>
          <a:ext cx="2200276"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12</xdr:row>
      <xdr:rowOff>0</xdr:rowOff>
    </xdr:from>
    <xdr:to>
      <xdr:col>8</xdr:col>
      <xdr:colOff>9525</xdr:colOff>
      <xdr:row>12</xdr:row>
      <xdr:rowOff>276225</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A7A85C66-1FAD-4C0E-A40B-D17ACED387E3}"/>
            </a:ext>
          </a:extLst>
        </xdr:cNvPr>
        <xdr:cNvSpPr/>
      </xdr:nvSpPr>
      <xdr:spPr>
        <a:xfrm>
          <a:off x="4129088" y="1790700"/>
          <a:ext cx="2209800"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13</xdr:row>
      <xdr:rowOff>0</xdr:rowOff>
    </xdr:from>
    <xdr:to>
      <xdr:col>8</xdr:col>
      <xdr:colOff>9525</xdr:colOff>
      <xdr:row>13</xdr:row>
      <xdr:rowOff>276225</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3BD82298-A345-4B4F-83A6-805D8E23A221}"/>
            </a:ext>
          </a:extLst>
        </xdr:cNvPr>
        <xdr:cNvSpPr/>
      </xdr:nvSpPr>
      <xdr:spPr>
        <a:xfrm>
          <a:off x="4129088" y="2076450"/>
          <a:ext cx="2209800"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14</xdr:row>
      <xdr:rowOff>0</xdr:rowOff>
    </xdr:from>
    <xdr:to>
      <xdr:col>8</xdr:col>
      <xdr:colOff>9525</xdr:colOff>
      <xdr:row>14</xdr:row>
      <xdr:rowOff>276225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380E5ED-E651-487B-8186-8CB076ED09AD}"/>
            </a:ext>
          </a:extLst>
        </xdr:cNvPr>
        <xdr:cNvSpPr/>
      </xdr:nvSpPr>
      <xdr:spPr>
        <a:xfrm>
          <a:off x="4129088" y="2362200"/>
          <a:ext cx="2209800"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15</xdr:row>
      <xdr:rowOff>0</xdr:rowOff>
    </xdr:from>
    <xdr:to>
      <xdr:col>8</xdr:col>
      <xdr:colOff>9525</xdr:colOff>
      <xdr:row>15</xdr:row>
      <xdr:rowOff>276225</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864733B-0012-47B7-9A66-5843D938B016}"/>
            </a:ext>
          </a:extLst>
        </xdr:cNvPr>
        <xdr:cNvSpPr/>
      </xdr:nvSpPr>
      <xdr:spPr>
        <a:xfrm>
          <a:off x="4129088" y="2647950"/>
          <a:ext cx="2209800"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a:t>
          </a:r>
          <a:r>
            <a:rPr lang="en-US" sz="1400" b="1" baseline="0">
              <a:solidFill>
                <a:sysClr val="windowText" lastClr="000000"/>
              </a:solidFill>
            </a:rPr>
            <a:t> Source</a:t>
          </a:r>
          <a:endParaRPr lang="en-US" sz="1400" b="1">
            <a:solidFill>
              <a:sysClr val="windowText" lastClr="000000"/>
            </a:solidFill>
          </a:endParaRPr>
        </a:p>
      </xdr:txBody>
    </xdr:sp>
    <xdr:clientData/>
  </xdr:twoCellAnchor>
  <xdr:twoCellAnchor>
    <xdr:from>
      <xdr:col>7</xdr:col>
      <xdr:colOff>0</xdr:colOff>
      <xdr:row>9</xdr:row>
      <xdr:rowOff>0</xdr:rowOff>
    </xdr:from>
    <xdr:to>
      <xdr:col>8</xdr:col>
      <xdr:colOff>9523</xdr:colOff>
      <xdr:row>9</xdr:row>
      <xdr:rowOff>276225</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4AE59D8E-3828-440B-9EE1-564127097EE8}"/>
            </a:ext>
          </a:extLst>
        </xdr:cNvPr>
        <xdr:cNvSpPr/>
      </xdr:nvSpPr>
      <xdr:spPr>
        <a:xfrm>
          <a:off x="4129088" y="933450"/>
          <a:ext cx="2209798"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 Source</a:t>
          </a:r>
        </a:p>
      </xdr:txBody>
    </xdr:sp>
    <xdr:clientData/>
  </xdr:twoCellAnchor>
  <xdr:twoCellAnchor>
    <xdr:from>
      <xdr:col>7</xdr:col>
      <xdr:colOff>0</xdr:colOff>
      <xdr:row>8</xdr:row>
      <xdr:rowOff>0</xdr:rowOff>
    </xdr:from>
    <xdr:to>
      <xdr:col>8</xdr:col>
      <xdr:colOff>9523</xdr:colOff>
      <xdr:row>8</xdr:row>
      <xdr:rowOff>276225</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CF2978DB-1F91-4398-985C-75E9BF2F0113}"/>
            </a:ext>
          </a:extLst>
        </xdr:cNvPr>
        <xdr:cNvSpPr/>
      </xdr:nvSpPr>
      <xdr:spPr>
        <a:xfrm>
          <a:off x="4319588" y="800100"/>
          <a:ext cx="2209798" cy="276225"/>
        </a:xfrm>
        <a:prstGeom prst="rect">
          <a:avLst/>
        </a:prstGeom>
        <a:solidFill>
          <a:schemeClr val="accent1"/>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Open Source</a:t>
          </a:r>
        </a:p>
      </xdr:txBody>
    </xdr:sp>
    <xdr:clientData/>
  </xdr:twoCellAnchor>
  <xdr:twoCellAnchor editAs="oneCell">
    <xdr:from>
      <xdr:col>10</xdr:col>
      <xdr:colOff>209550</xdr:colOff>
      <xdr:row>5</xdr:row>
      <xdr:rowOff>47625</xdr:rowOff>
    </xdr:from>
    <xdr:to>
      <xdr:col>12</xdr:col>
      <xdr:colOff>542925</xdr:colOff>
      <xdr:row>10</xdr:row>
      <xdr:rowOff>209550</xdr:rowOff>
    </xdr:to>
    <xdr:pic macro="[3]!Main_Dashboard">
      <xdr:nvPicPr>
        <xdr:cNvPr id="2" name="Graphic 1" descr="Presentation with pie chart with solid fill">
          <a:extLst>
            <a:ext uri="{FF2B5EF4-FFF2-40B4-BE49-F238E27FC236}">
              <a16:creationId xmlns:a16="http://schemas.microsoft.com/office/drawing/2014/main" id="{F351DF7D-0988-4BA1-84F7-CE0B2FDACFA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048750" y="628650"/>
          <a:ext cx="1552575" cy="1552575"/>
        </a:xfrm>
        <a:prstGeom prst="rect">
          <a:avLst/>
        </a:prstGeom>
      </xdr:spPr>
    </xdr:pic>
    <xdr:clientData/>
  </xdr:twoCellAnchor>
  <xdr:oneCellAnchor>
    <xdr:from>
      <xdr:col>9</xdr:col>
      <xdr:colOff>390525</xdr:colOff>
      <xdr:row>15</xdr:row>
      <xdr:rowOff>59550</xdr:rowOff>
    </xdr:from>
    <xdr:ext cx="2676932" cy="2209799"/>
    <xdr:sp macro="" textlink="">
      <xdr:nvSpPr>
        <xdr:cNvPr id="14" name="Rectangle 13">
          <a:extLst>
            <a:ext uri="{FF2B5EF4-FFF2-40B4-BE49-F238E27FC236}">
              <a16:creationId xmlns:a16="http://schemas.microsoft.com/office/drawing/2014/main" id="{4C3FF78D-BEDF-4893-8B13-586F4C3DDC51}"/>
            </a:ext>
          </a:extLst>
        </xdr:cNvPr>
        <xdr:cNvSpPr/>
      </xdr:nvSpPr>
      <xdr:spPr>
        <a:xfrm>
          <a:off x="8620125" y="3459975"/>
          <a:ext cx="2676932" cy="2209799"/>
        </a:xfrm>
        <a:prstGeom prst="rect">
          <a:avLst/>
        </a:prstGeom>
        <a:noFill/>
        <a:ln>
          <a:solidFill>
            <a:sysClr val="windowText" lastClr="000000"/>
          </a:solidFill>
        </a:ln>
      </xdr:spPr>
      <xdr:txBody>
        <a:bodyPr wrap="square" lIns="91440" tIns="45720" rIns="91440" bIns="45720">
          <a:noAutofit/>
        </a:bodyPr>
        <a:lstStyle/>
        <a:p>
          <a:pPr algn="ctr"/>
          <a:r>
            <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To Go to Main</a:t>
          </a:r>
          <a:r>
            <a:rPr lang="en-US" sz="40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Dashboard</a:t>
          </a:r>
          <a:endPar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editAs="oneCell">
    <xdr:from>
      <xdr:col>12</xdr:col>
      <xdr:colOff>45632</xdr:colOff>
      <xdr:row>11</xdr:row>
      <xdr:rowOff>161925</xdr:rowOff>
    </xdr:from>
    <xdr:to>
      <xdr:col>13</xdr:col>
      <xdr:colOff>350432</xdr:colOff>
      <xdr:row>14</xdr:row>
      <xdr:rowOff>219075</xdr:rowOff>
    </xdr:to>
    <xdr:pic>
      <xdr:nvPicPr>
        <xdr:cNvPr id="15" name="Graphic 14" descr="Chevron arrows with solid fill">
          <a:extLst>
            <a:ext uri="{FF2B5EF4-FFF2-40B4-BE49-F238E27FC236}">
              <a16:creationId xmlns:a16="http://schemas.microsoft.com/office/drawing/2014/main" id="{15FB35CC-9AB7-48A9-B51C-25E26C84B2B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6200000">
          <a:off x="10104032" y="2419350"/>
          <a:ext cx="914400" cy="914400"/>
        </a:xfrm>
        <a:prstGeom prst="rect">
          <a:avLst/>
        </a:prstGeom>
      </xdr:spPr>
    </xdr:pic>
    <xdr:clientData/>
  </xdr:twoCellAnchor>
  <xdr:twoCellAnchor editAs="oneCell">
    <xdr:from>
      <xdr:col>9</xdr:col>
      <xdr:colOff>502832</xdr:colOff>
      <xdr:row>11</xdr:row>
      <xdr:rowOff>180975</xdr:rowOff>
    </xdr:from>
    <xdr:to>
      <xdr:col>11</xdr:col>
      <xdr:colOff>198032</xdr:colOff>
      <xdr:row>14</xdr:row>
      <xdr:rowOff>238125</xdr:rowOff>
    </xdr:to>
    <xdr:pic>
      <xdr:nvPicPr>
        <xdr:cNvPr id="16" name="Graphic 15" descr="Chevron arrows with solid fill">
          <a:extLst>
            <a:ext uri="{FF2B5EF4-FFF2-40B4-BE49-F238E27FC236}">
              <a16:creationId xmlns:a16="http://schemas.microsoft.com/office/drawing/2014/main" id="{9DA15F28-1752-4A18-8BBB-EA6E6FC8757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6200000">
          <a:off x="8732432" y="2438400"/>
          <a:ext cx="914400" cy="914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552450</xdr:colOff>
      <xdr:row>2</xdr:row>
      <xdr:rowOff>123825</xdr:rowOff>
    </xdr:from>
    <xdr:to>
      <xdr:col>13</xdr:col>
      <xdr:colOff>333375</xdr:colOff>
      <xdr:row>9</xdr:row>
      <xdr:rowOff>9525</xdr:rowOff>
    </xdr:to>
    <xdr:pic macro="[3]!Main_Dashboard">
      <xdr:nvPicPr>
        <xdr:cNvPr id="2" name="Graphic 1" descr="Presentation with pie chart with solid fill">
          <a:extLst>
            <a:ext uri="{FF2B5EF4-FFF2-40B4-BE49-F238E27FC236}">
              <a16:creationId xmlns:a16="http://schemas.microsoft.com/office/drawing/2014/main" id="{CC70C44A-AFEF-453F-B9CF-9A04E31175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686800" y="381000"/>
          <a:ext cx="1552575" cy="1552575"/>
        </a:xfrm>
        <a:prstGeom prst="rect">
          <a:avLst/>
        </a:prstGeom>
      </xdr:spPr>
    </xdr:pic>
    <xdr:clientData/>
  </xdr:twoCellAnchor>
  <xdr:oneCellAnchor>
    <xdr:from>
      <xdr:col>10</xdr:col>
      <xdr:colOff>94843</xdr:colOff>
      <xdr:row>14</xdr:row>
      <xdr:rowOff>171450</xdr:rowOff>
    </xdr:from>
    <xdr:ext cx="2676932" cy="2209799"/>
    <xdr:sp macro="" textlink="">
      <xdr:nvSpPr>
        <xdr:cNvPr id="4" name="Rectangle 3">
          <a:extLst>
            <a:ext uri="{FF2B5EF4-FFF2-40B4-BE49-F238E27FC236}">
              <a16:creationId xmlns:a16="http://schemas.microsoft.com/office/drawing/2014/main" id="{8678B8EA-7052-0127-DF71-2A8EAD3268A9}"/>
            </a:ext>
          </a:extLst>
        </xdr:cNvPr>
        <xdr:cNvSpPr/>
      </xdr:nvSpPr>
      <xdr:spPr>
        <a:xfrm>
          <a:off x="8229193" y="3524250"/>
          <a:ext cx="2676932" cy="2209799"/>
        </a:xfrm>
        <a:prstGeom prst="rect">
          <a:avLst/>
        </a:prstGeom>
        <a:noFill/>
        <a:ln>
          <a:solidFill>
            <a:sysClr val="windowText" lastClr="000000"/>
          </a:solidFill>
        </a:ln>
      </xdr:spPr>
      <xdr:txBody>
        <a:bodyPr wrap="square" lIns="91440" tIns="45720" rIns="91440" bIns="45720">
          <a:noAutofit/>
        </a:bodyPr>
        <a:lstStyle/>
        <a:p>
          <a:pPr algn="ctr"/>
          <a:r>
            <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To Go to Main</a:t>
          </a:r>
          <a:r>
            <a:rPr lang="en-US" sz="40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Dashboard</a:t>
          </a:r>
          <a:endParaRPr lang="en-US" sz="4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editAs="oneCell">
    <xdr:from>
      <xdr:col>12</xdr:col>
      <xdr:colOff>397650</xdr:colOff>
      <xdr:row>10</xdr:row>
      <xdr:rowOff>83325</xdr:rowOff>
    </xdr:from>
    <xdr:to>
      <xdr:col>13</xdr:col>
      <xdr:colOff>721500</xdr:colOff>
      <xdr:row>14</xdr:row>
      <xdr:rowOff>45225</xdr:rowOff>
    </xdr:to>
    <xdr:pic>
      <xdr:nvPicPr>
        <xdr:cNvPr id="10" name="Graphic 9" descr="Chevron arrows with solid fill">
          <a:extLst>
            <a:ext uri="{FF2B5EF4-FFF2-40B4-BE49-F238E27FC236}">
              <a16:creationId xmlns:a16="http://schemas.microsoft.com/office/drawing/2014/main" id="{1BE9FF26-287E-749C-2AB8-5AC6D14EB43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9713100" y="2483625"/>
          <a:ext cx="914400" cy="914400"/>
        </a:xfrm>
        <a:prstGeom prst="rect">
          <a:avLst/>
        </a:prstGeom>
      </xdr:spPr>
    </xdr:pic>
    <xdr:clientData/>
  </xdr:twoCellAnchor>
  <xdr:twoCellAnchor editAs="oneCell">
    <xdr:from>
      <xdr:col>10</xdr:col>
      <xdr:colOff>207150</xdr:colOff>
      <xdr:row>10</xdr:row>
      <xdr:rowOff>102375</xdr:rowOff>
    </xdr:from>
    <xdr:to>
      <xdr:col>11</xdr:col>
      <xdr:colOff>531000</xdr:colOff>
      <xdr:row>14</xdr:row>
      <xdr:rowOff>64275</xdr:rowOff>
    </xdr:to>
    <xdr:pic>
      <xdr:nvPicPr>
        <xdr:cNvPr id="11" name="Graphic 10" descr="Chevron arrows with solid fill">
          <a:extLst>
            <a:ext uri="{FF2B5EF4-FFF2-40B4-BE49-F238E27FC236}">
              <a16:creationId xmlns:a16="http://schemas.microsoft.com/office/drawing/2014/main" id="{5F73B4D3-3DC8-441D-8B79-CEE7B37FEB7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8341500" y="2502675"/>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mass-my.sharepoint.com/Users/smilne/Downloads/Group12%20Dashboard_FinalGrad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ampus.ads.umass.edu/isom/Users/smilne/Box%20Sync/1.2017%20Fall%20MBAHybrid/Grades%20and%20apply-it%20solutions%20with%20macros/Best%20place%20to%20live/Graded%20Heman_Dashboar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umass-my.sharepoint.com/personal/sarthakraj_umass_edu/Documents/601%20Files/Project/Group%209%20Project_Macros.xlsm" TargetMode="External"/><Relationship Id="rId1" Type="http://schemas.openxmlformats.org/officeDocument/2006/relationships/externalLinkPath" Target="https://umass-my.sharepoint.com/personal/sarthakraj_umass_edu/Documents/601%20Files/Project/Group%209%20Project_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deGroup12"/>
      <sheetName val="Dashboard"/>
      <sheetName val="Resources"/>
      <sheetName val="Pivots"/>
      <sheetName val="Survey Data"/>
    </sheetNames>
    <sheetDataSet>
      <sheetData sheetId="0" refreshError="1"/>
      <sheetData sheetId="1" refreshError="1"/>
      <sheetData sheetId="2" refreshError="1"/>
      <sheetData sheetId="3" refreshError="1"/>
      <sheetData sheetId="4">
        <row r="2">
          <cell r="G2" t="str">
            <v>Atlanta</v>
          </cell>
        </row>
        <row r="3">
          <cell r="G3" t="str">
            <v>Boston</v>
          </cell>
        </row>
        <row r="4">
          <cell r="G4" t="str">
            <v>Chicago</v>
          </cell>
        </row>
        <row r="5">
          <cell r="G5" t="str">
            <v>Dallas</v>
          </cell>
        </row>
        <row r="6">
          <cell r="G6" t="str">
            <v>Denver</v>
          </cell>
        </row>
        <row r="7">
          <cell r="G7" t="str">
            <v>Los Angeles</v>
          </cell>
        </row>
        <row r="8">
          <cell r="G8" t="str">
            <v>Miami</v>
          </cell>
        </row>
        <row r="9">
          <cell r="G9" t="str">
            <v>New York City</v>
          </cell>
        </row>
        <row r="10">
          <cell r="G10" t="str">
            <v>Phoenix</v>
          </cell>
        </row>
        <row r="11">
          <cell r="G11" t="str">
            <v>Seattle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de"/>
      <sheetName val="Dashboard Homepage"/>
      <sheetName val="Travel Time"/>
      <sheetName val="Personal Income"/>
      <sheetName val="Housing"/>
      <sheetName val="Quality of Life"/>
      <sheetName val="Quality of Life Pivot Chart"/>
      <sheetName val="ED Data"/>
      <sheetName val="Median Home Value Data"/>
      <sheetName val="Rent Data"/>
      <sheetName val="Sheet6"/>
      <sheetName val="Sheet2"/>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lan"/>
      <sheetName val="Tax"/>
      <sheetName val="Pollution "/>
      <sheetName val="weekly earnings"/>
      <sheetName val="snowfall"/>
      <sheetName val="Water Quality Violations"/>
      <sheetName val="Cost of Living"/>
      <sheetName val="Data Table 2"/>
      <sheetName val="Data Table"/>
      <sheetName val="Data Table2"/>
      <sheetName val="Population"/>
      <sheetName val="Pivot Tables"/>
      <sheetName val="Team Members"/>
      <sheetName val="Data Sources"/>
      <sheetName val="Ranking"/>
      <sheetName val="Dashboard"/>
      <sheetName val="Board 2"/>
      <sheetName val="Group 9 Project_Macros"/>
    </sheetNames>
    <definedNames>
      <definedName name="Board_2"/>
      <definedName name="Main_Dashboar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0.714844212962" createdVersion="8" refreshedVersion="8" minRefreshableVersion="3" recordCount="13" xr:uid="{3126E2F8-D70D-47EF-88B3-CE94B62A164D}">
  <cacheSource type="worksheet">
    <worksheetSource ref="A18:B31" sheet="Population"/>
  </cacheSource>
  <cacheFields count="2">
    <cacheField name="State" numFmtId="0">
      <sharedItems count="12">
        <s v="Texas"/>
        <s v="Massachusetts"/>
        <s v="Illinois"/>
        <s v="Colorado"/>
        <s v="Michigan"/>
        <s v="Nevada"/>
        <s v="California"/>
        <s v="Florida"/>
        <s v="New York"/>
        <s v="Pennsylvania"/>
        <s v="Washington"/>
        <s v="District of Columbia"/>
      </sharedItems>
    </cacheField>
    <cacheField name="Change in Population (2020-2023)" numFmtId="10">
      <sharedItems containsSemiMixedTypes="0" containsString="0" containsNumber="1" minValue="-3.1E-2" maxValue="0.05"/>
    </cacheField>
  </cacheFields>
  <extLst>
    <ext xmlns:x14="http://schemas.microsoft.com/office/spreadsheetml/2009/9/main" uri="{725AE2AE-9491-48be-B2B4-4EB974FC3084}">
      <x14:pivotCacheDefinition pivotCacheId="89256756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0.714844212962" createdVersion="8" refreshedVersion="8" minRefreshableVersion="3" recordCount="15" xr:uid="{FA04249D-3CA7-409A-B2B8-6F78F17CBB84}">
  <cacheSource type="worksheet">
    <worksheetSource ref="F19:G34" sheet="Data Table2"/>
  </cacheSource>
  <cacheFields count="2">
    <cacheField name="City" numFmtId="0">
      <sharedItems count="15">
        <s v="Austin"/>
        <s v="Boston"/>
        <s v="Chicago"/>
        <s v="Dallas"/>
        <s v="Denver"/>
        <s v="Detroit"/>
        <s v="Las Vegas"/>
        <s v="Los Angeles"/>
        <s v="Miami"/>
        <s v="New York"/>
        <s v="Pittsburgh"/>
        <s v="San Francisco"/>
        <s v="Seattle"/>
        <s v="Tampa"/>
        <s v="Washington"/>
      </sharedItems>
    </cacheField>
    <cacheField name="Avg. Local Sales Tax (%)" numFmtId="0">
      <sharedItems containsSemiMixedTypes="0" containsString="0" containsNumber="1" minValue="6" maxValue="10.25"/>
    </cacheField>
  </cacheFields>
  <extLst>
    <ext xmlns:x14="http://schemas.microsoft.com/office/spreadsheetml/2009/9/main" uri="{725AE2AE-9491-48be-B2B4-4EB974FC3084}">
      <x14:pivotCacheDefinition pivotCacheId="8106625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0.714844212962" createdVersion="8" refreshedVersion="8" minRefreshableVersion="3" recordCount="15" xr:uid="{23C120DA-A774-42A5-A50B-FC4C4A5C2993}">
  <cacheSource type="worksheet">
    <worksheetSource name="Table12"/>
  </cacheSource>
  <cacheFields count="7">
    <cacheField name="City" numFmtId="0">
      <sharedItems count="15">
        <s v="Austin"/>
        <s v="Boston"/>
        <s v="Chicago"/>
        <s v="Dallas"/>
        <s v="Denver"/>
        <s v="Detroit"/>
        <s v="Las Vegas"/>
        <s v="Los Angeles"/>
        <s v="Miami"/>
        <s v="New York"/>
        <s v="Pittsburgh"/>
        <s v="San Francisco"/>
        <s v="Seattle"/>
        <s v="Tampa"/>
        <s v="Washington"/>
      </sharedItems>
    </cacheField>
    <cacheField name="State " numFmtId="0">
      <sharedItems/>
    </cacheField>
    <cacheField name="Avg weekly earnings in 2023" numFmtId="165">
      <sharedItems containsSemiMixedTypes="0" containsString="0" containsNumber="1" minValue="994.65" maxValue="1617.09"/>
    </cacheField>
    <cacheField name="Avg weekly earnings in 2024" numFmtId="165">
      <sharedItems containsSemiMixedTypes="0" containsString="0" containsNumber="1" minValue="1017.27" maxValue="1554.4"/>
    </cacheField>
    <cacheField name="Average Monthly Cost (USD)" numFmtId="0">
      <sharedItems/>
    </cacheField>
    <cacheField name="Cost of Living Index" numFmtId="0">
      <sharedItems containsSemiMixedTypes="0" containsString="0" containsNumber="1" minValue="72.7" maxValue="100"/>
    </cacheField>
    <cacheField name="Avg. Local Sales Tax (%)" numFmtId="0">
      <sharedItems containsSemiMixedTypes="0" containsString="0" containsNumber="1" minValue="6" maxValue="10.25"/>
    </cacheField>
  </cacheFields>
  <extLst>
    <ext xmlns:x14="http://schemas.microsoft.com/office/spreadsheetml/2009/9/main" uri="{725AE2AE-9491-48be-B2B4-4EB974FC3084}">
      <x14:pivotCacheDefinition pivotCacheId="53140793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0.714844212962" createdVersion="8" refreshedVersion="8" minRefreshableVersion="3" recordCount="15" xr:uid="{D90BC0EE-0E4E-47F3-BB38-6DCA0B60DBB4}">
  <cacheSource type="worksheet">
    <worksheetSource name="Table10"/>
  </cacheSource>
  <cacheFields count="5">
    <cacheField name="City" numFmtId="0">
      <sharedItems count="15">
        <s v="Austin"/>
        <s v="Boston"/>
        <s v="Chicago"/>
        <s v="Dallas"/>
        <s v="Denver"/>
        <s v="Detroit"/>
        <s v="Las Vegas"/>
        <s v="Los Angeles"/>
        <s v="Miami"/>
        <s v="New York"/>
        <s v="Pittsburgh"/>
        <s v="San Francisco"/>
        <s v="Seattle"/>
        <s v="Tampa"/>
        <s v="Washington"/>
      </sharedItems>
    </cacheField>
    <cacheField name="State " numFmtId="0">
      <sharedItems count="12">
        <s v="Texas"/>
        <s v="Massachusetts"/>
        <s v="Illionis"/>
        <s v="Colorado"/>
        <s v="Michigan"/>
        <s v="Nevada"/>
        <s v="California "/>
        <s v="Florida"/>
        <s v="New York "/>
        <s v="Pennsylvania"/>
        <s v="Washington"/>
        <s v="District of Columbia "/>
      </sharedItems>
    </cacheField>
    <cacheField name="Average Water Quality Violations (ppm)" numFmtId="0">
      <sharedItems containsSemiMixedTypes="0" containsString="0" containsNumber="1" containsInteger="1" minValue="622" maxValue="11012"/>
    </cacheField>
    <cacheField name="Snow (in inches)" numFmtId="0">
      <sharedItems containsSemiMixedTypes="0" containsString="0" containsNumber="1" minValue="0" maxValue="49.2"/>
    </cacheField>
    <cacheField name="Good Air Quality (%)" numFmtId="0">
      <sharedItems containsSemiMixedTypes="0" containsString="0" containsNumber="1" minValue="31.56" maxValue="87.1" count="15">
        <n v="48.03"/>
        <n v="87.1"/>
        <n v="50.35"/>
        <n v="58.24"/>
        <n v="49.11"/>
        <n v="33.89"/>
        <n v="58.18"/>
        <n v="48.84"/>
        <n v="76.67"/>
        <n v="38.17"/>
        <n v="79.2"/>
        <n v="67"/>
        <n v="31.56"/>
        <n v="49.89"/>
        <n v="52.78"/>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1.692663888891" createdVersion="8" refreshedVersion="8" minRefreshableVersion="3" recordCount="15" xr:uid="{F125A7EF-BCFB-44D5-99DE-58C744C7B41B}">
  <cacheSource type="worksheet">
    <worksheetSource name="Table4"/>
  </cacheSource>
  <cacheFields count="4">
    <cacheField name="Cities" numFmtId="0">
      <sharedItems count="15">
        <s v="Austin"/>
        <s v="Boston"/>
        <s v="Chicago"/>
        <s v="Dallas"/>
        <s v="Denver"/>
        <s v="Detroit"/>
        <s v="Las Vegas"/>
        <s v="Los Angeles"/>
        <s v="Miami"/>
        <s v="New York"/>
        <s v="Pittsburg"/>
        <s v="San Francisco"/>
        <s v="Seattle"/>
        <s v="Tampa"/>
        <s v="Washington"/>
      </sharedItems>
    </cacheField>
    <cacheField name="avg number of days" numFmtId="0">
      <sharedItems containsSemiMixedTypes="0" containsString="0" containsNumber="1" minValue="0" maxValue="40.200000000000003"/>
    </cacheField>
    <cacheField name="inches" numFmtId="0">
      <sharedItems containsSemiMixedTypes="0" containsString="0" containsNumber="1" minValue="0" maxValue="49.2"/>
    </cacheField>
    <cacheField name="cm" numFmtId="0">
      <sharedItems containsSemiMixedTypes="0" containsString="0" containsNumber="1" minValue="0" maxValue="12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31.698698611108" createdVersion="8" refreshedVersion="8" minRefreshableVersion="3" recordCount="13" xr:uid="{5AE05CD1-B72C-42C3-AB00-F99A958EB47A}">
  <cacheSource type="worksheet">
    <worksheetSource name="Table16"/>
  </cacheSource>
  <cacheFields count="2">
    <cacheField name="State" numFmtId="0">
      <sharedItems count="12">
        <s v="Texas"/>
        <s v="Massachusetts"/>
        <s v="Illinois"/>
        <s v="Colorado"/>
        <s v="Michigan"/>
        <s v="Nevada"/>
        <s v="California"/>
        <s v="Florida"/>
        <s v="New York"/>
        <s v="Pennsylvania"/>
        <s v="Washington"/>
        <s v="District of Columbia"/>
      </sharedItems>
    </cacheField>
    <cacheField name="Average" numFmtId="3">
      <sharedItems containsSemiMixedTypes="0" containsString="0" containsNumber="1" minValue="672449.25" maxValue="39163517.2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thak Raj" refreshedDate="45634.071784143518" createdVersion="8" refreshedVersion="8" minRefreshableVersion="3" recordCount="15" xr:uid="{FA0D537E-0B5A-44CD-A217-56ECA23DD186}">
  <cacheSource type="worksheet">
    <worksheetSource name="Tax_WeeklyEarnings"/>
  </cacheSource>
  <cacheFields count="12">
    <cacheField name="City" numFmtId="0">
      <sharedItems count="15">
        <s v="Austin"/>
        <s v="Boston"/>
        <s v="Chicago"/>
        <s v="Dallas"/>
        <s v="Denver"/>
        <s v="Detroit"/>
        <s v="Las Vegas"/>
        <s v="Los Angeles"/>
        <s v="Miami"/>
        <s v="New York"/>
        <s v="Pittsburgh"/>
        <s v="San Francisco"/>
        <s v="Seattle"/>
        <s v="Tampa"/>
        <s v="Washington, D.C."/>
      </sharedItems>
    </cacheField>
    <cacheField name="State" numFmtId="0">
      <sharedItems count="12">
        <s v="Texas"/>
        <s v="Massachusetts"/>
        <s v="Illionis"/>
        <s v="Colorado"/>
        <s v="Michigan"/>
        <s v="Nevada"/>
        <s v="California "/>
        <s v="Florida"/>
        <s v="New York "/>
        <s v="Pennsylvania"/>
        <s v="Washington"/>
        <s v="District of Columbia "/>
      </sharedItems>
    </cacheField>
    <cacheField name=" Average Population" numFmtId="167">
      <sharedItems containsSemiMixedTypes="0" containsString="0" containsNumber="1" minValue="672449.25" maxValue="39163517.25"/>
    </cacheField>
    <cacheField name="State Income Tax (%)" numFmtId="166">
      <sharedItems containsSemiMixedTypes="0" containsString="0" containsNumber="1" minValue="0" maxValue="13.3"/>
    </cacheField>
    <cacheField name="Avg. Local Sales Tax (%)" numFmtId="166">
      <sharedItems containsSemiMixedTypes="0" containsString="0" containsNumber="1" minValue="6" maxValue="10.25"/>
    </cacheField>
    <cacheField name="Unemployment rates" numFmtId="166">
      <sharedItems containsSemiMixedTypes="0" containsString="0" containsNumber="1" minValue="2.9" maxValue="5.8"/>
    </cacheField>
    <cacheField name="Avg weekly earnings in 2023" numFmtId="165">
      <sharedItems containsSemiMixedTypes="0" containsString="0" containsNumber="1" minValue="994.65" maxValue="1617.09"/>
    </cacheField>
    <cacheField name="Avg weekly earnings in 2024" numFmtId="165">
      <sharedItems containsSemiMixedTypes="0" containsString="0" containsNumber="1" minValue="1017.27" maxValue="1554.4"/>
    </cacheField>
    <cacheField name="Cost of Living Index" numFmtId="0">
      <sharedItems containsSemiMixedTypes="0" containsString="0" containsNumber="1" minValue="72.7" maxValue="100"/>
    </cacheField>
    <cacheField name="Average Monthly Cost (USD)" numFmtId="164">
      <sharedItems containsSemiMixedTypes="0" containsString="0" containsNumber="1" containsInteger="1" minValue="2006" maxValue="4051"/>
    </cacheField>
    <cacheField name="Percentage change in Population(2023-24)" numFmtId="166">
      <sharedItems containsSemiMixedTypes="0" containsString="0" containsNumber="1" minValue="-3.9" maxValue="8.6"/>
    </cacheField>
    <cacheField name="Ranking" numFmtId="0">
      <sharedItems containsSemiMixedTypes="0" containsString="0" containsNumber="1" containsInteger="1" minValue="1" maxValue="15"/>
    </cacheField>
  </cacheFields>
  <extLst>
    <ext xmlns:x14="http://schemas.microsoft.com/office/spreadsheetml/2009/9/main" uri="{725AE2AE-9491-48be-B2B4-4EB974FC3084}">
      <x14:pivotCacheDefinition pivotCacheId="1515445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n v="4.7E-2"/>
  </r>
  <r>
    <x v="1"/>
    <n v="-4.0000000000000001E-3"/>
  </r>
  <r>
    <x v="2"/>
    <n v="-2.1000000000000001E-2"/>
  </r>
  <r>
    <x v="0"/>
    <n v="1.7999999999999999E-2"/>
  </r>
  <r>
    <x v="3"/>
    <n v="1.7999999999999999E-2"/>
  </r>
  <r>
    <x v="4"/>
    <n v="-4.0000000000000001E-3"/>
  </r>
  <r>
    <x v="5"/>
    <n v="2.9000000000000001E-2"/>
  </r>
  <r>
    <x v="6"/>
    <n v="-1.4E-2"/>
  </r>
  <r>
    <x v="7"/>
    <n v="0.05"/>
  </r>
  <r>
    <x v="8"/>
    <n v="-3.1E-2"/>
  </r>
  <r>
    <x v="9"/>
    <n v="-3.0000000000000001E-3"/>
  </r>
  <r>
    <x v="10"/>
    <n v="1.4E-2"/>
  </r>
  <r>
    <x v="11"/>
    <n v="-1.4999999999999999E-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25"/>
  </r>
  <r>
    <x v="1"/>
    <n v="6.25"/>
  </r>
  <r>
    <x v="2"/>
    <n v="10.25"/>
  </r>
  <r>
    <x v="3"/>
    <n v="8.25"/>
  </r>
  <r>
    <x v="4"/>
    <n v="7.65"/>
  </r>
  <r>
    <x v="5"/>
    <n v="6"/>
  </r>
  <r>
    <x v="6"/>
    <n v="8.3800000000000008"/>
  </r>
  <r>
    <x v="7"/>
    <n v="9.5"/>
  </r>
  <r>
    <x v="8"/>
    <n v="7"/>
  </r>
  <r>
    <x v="9"/>
    <n v="8.875"/>
  </r>
  <r>
    <x v="10"/>
    <n v="7"/>
  </r>
  <r>
    <x v="11"/>
    <n v="8.5"/>
  </r>
  <r>
    <x v="12"/>
    <n v="10.1"/>
  </r>
  <r>
    <x v="13"/>
    <n v="7.5"/>
  </r>
  <r>
    <x v="14"/>
    <n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s v="Texas"/>
    <n v="1213.0899999999999"/>
    <n v="1241.42"/>
    <s v="$2,473 "/>
    <n v="73.2"/>
    <n v="8.25"/>
  </r>
  <r>
    <x v="1"/>
    <s v="Massachusetts"/>
    <n v="1478.81"/>
    <n v="1498.72"/>
    <s v="$3,467 "/>
    <n v="84.6"/>
    <n v="6.25"/>
  </r>
  <r>
    <x v="2"/>
    <s v="Illionis"/>
    <n v="1166.8900000000001"/>
    <n v="1174.1099999999999"/>
    <s v="$2,667 "/>
    <n v="79"/>
    <n v="10.25"/>
  </r>
  <r>
    <x v="3"/>
    <s v="Texas"/>
    <n v="1243.1099999999999"/>
    <n v="1264.1600000000001"/>
    <s v="$2,550 "/>
    <n v="77.099999999999994"/>
    <n v="8.25"/>
  </r>
  <r>
    <x v="4"/>
    <s v="Colorado"/>
    <n v="1344.9"/>
    <n v="1375.3"/>
    <s v="$2,699 "/>
    <n v="81.7"/>
    <n v="7.65"/>
  </r>
  <r>
    <x v="5"/>
    <s v="Michigan"/>
    <n v="1229.8900000000001"/>
    <n v="1222.92"/>
    <s v="$2,006 "/>
    <n v="74"/>
    <n v="6"/>
  </r>
  <r>
    <x v="6"/>
    <s v="Nevada"/>
    <n v="994.65"/>
    <n v="1045.81"/>
    <s v="$2,246 "/>
    <n v="72.7"/>
    <n v="8.3800000000000008"/>
  </r>
  <r>
    <x v="7"/>
    <s v="California "/>
    <n v="1314.78"/>
    <n v="1302.51"/>
    <s v="$3,187 "/>
    <n v="78.7"/>
    <n v="9.5"/>
  </r>
  <r>
    <x v="8"/>
    <s v="Florida"/>
    <n v="1061.05"/>
    <n v="1047.54"/>
    <s v="$3,103 "/>
    <n v="81.900000000000006"/>
    <n v="7"/>
  </r>
  <r>
    <x v="9"/>
    <s v="New York "/>
    <n v="1269.2"/>
    <n v="1269.3599999999999"/>
    <s v="$4,051 "/>
    <n v="100"/>
    <n v="8.875"/>
  </r>
  <r>
    <x v="10"/>
    <s v="Pennsylvania"/>
    <n v="1038.3"/>
    <n v="1017.27"/>
    <s v="$2,223 "/>
    <n v="77.8"/>
    <n v="7"/>
  </r>
  <r>
    <x v="11"/>
    <s v="California "/>
    <n v="1617.09"/>
    <n v="1554.4"/>
    <s v="$3,781 "/>
    <n v="99.6"/>
    <n v="8.5"/>
  </r>
  <r>
    <x v="12"/>
    <s v="Washington"/>
    <n v="1496.7"/>
    <n v="1481.43"/>
    <s v="$2,908 "/>
    <n v="92.9"/>
    <n v="10.1"/>
  </r>
  <r>
    <x v="13"/>
    <s v="Florida"/>
    <n v="1085.81"/>
    <n v="1178.93"/>
    <s v="$2,518 "/>
    <n v="76.3"/>
    <n v="7.5"/>
  </r>
  <r>
    <x v="14"/>
    <s v="District of Columbia "/>
    <n v="1473.12"/>
    <n v="1440.74"/>
    <s v="$3,139 "/>
    <n v="83.8"/>
    <n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1190"/>
    <n v="0.2"/>
    <x v="0"/>
  </r>
  <r>
    <x v="1"/>
    <x v="1"/>
    <n v="622"/>
    <n v="49.2"/>
    <x v="1"/>
  </r>
  <r>
    <x v="2"/>
    <x v="2"/>
    <n v="3885"/>
    <n v="38.799999999999997"/>
    <x v="2"/>
  </r>
  <r>
    <x v="3"/>
    <x v="0"/>
    <n v="1398"/>
    <n v="1.7"/>
    <x v="3"/>
  </r>
  <r>
    <x v="4"/>
    <x v="3"/>
    <n v="925"/>
    <n v="49"/>
    <x v="4"/>
  </r>
  <r>
    <x v="5"/>
    <x v="4"/>
    <n v="4508"/>
    <n v="45"/>
    <x v="5"/>
  </r>
  <r>
    <x v="6"/>
    <x v="5"/>
    <n v="657"/>
    <n v="0.2"/>
    <x v="6"/>
  </r>
  <r>
    <x v="7"/>
    <x v="6"/>
    <n v="5206"/>
    <n v="0"/>
    <x v="7"/>
  </r>
  <r>
    <x v="8"/>
    <x v="7"/>
    <n v="2488"/>
    <n v="0"/>
    <x v="8"/>
  </r>
  <r>
    <x v="9"/>
    <x v="8"/>
    <n v="6192"/>
    <n v="29.8"/>
    <x v="9"/>
  </r>
  <r>
    <x v="10"/>
    <x v="9"/>
    <n v="11012"/>
    <n v="44.1"/>
    <x v="10"/>
  </r>
  <r>
    <x v="11"/>
    <x v="6"/>
    <n v="5492"/>
    <n v="0"/>
    <x v="11"/>
  </r>
  <r>
    <x v="12"/>
    <x v="10"/>
    <n v="1865"/>
    <n v="6.3"/>
    <x v="12"/>
  </r>
  <r>
    <x v="13"/>
    <x v="7"/>
    <n v="2598"/>
    <n v="0"/>
    <x v="13"/>
  </r>
  <r>
    <x v="14"/>
    <x v="11"/>
    <n v="1121"/>
    <n v="13.7"/>
    <x v="1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0.6"/>
    <n v="0.2"/>
    <n v="0.5"/>
  </r>
  <r>
    <x v="1"/>
    <n v="23"/>
    <n v="49.2"/>
    <n v="125"/>
  </r>
  <r>
    <x v="2"/>
    <n v="28.2"/>
    <n v="38.799999999999997"/>
    <n v="98.6"/>
  </r>
  <r>
    <x v="3"/>
    <n v="1.5"/>
    <n v="1.7"/>
    <n v="4.3"/>
  </r>
  <r>
    <x v="4"/>
    <n v="31.4"/>
    <n v="49"/>
    <n v="124.5"/>
  </r>
  <r>
    <x v="5"/>
    <n v="37.6"/>
    <n v="45"/>
    <n v="114.3"/>
  </r>
  <r>
    <x v="6"/>
    <n v="0.2"/>
    <n v="0.2"/>
    <n v="0.5"/>
  </r>
  <r>
    <x v="7"/>
    <n v="0"/>
    <n v="0"/>
    <n v="0"/>
  </r>
  <r>
    <x v="8"/>
    <n v="0"/>
    <n v="0"/>
    <n v="0"/>
  </r>
  <r>
    <x v="9"/>
    <n v="11.4"/>
    <n v="29.8"/>
    <n v="75.7"/>
  </r>
  <r>
    <x v="10"/>
    <n v="40.200000000000003"/>
    <n v="44.1"/>
    <n v="112"/>
  </r>
  <r>
    <x v="11"/>
    <n v="0"/>
    <n v="0"/>
    <n v="0"/>
  </r>
  <r>
    <x v="12"/>
    <n v="4.7"/>
    <n v="6.3"/>
    <n v="16"/>
  </r>
  <r>
    <x v="13"/>
    <n v="0"/>
    <n v="0"/>
    <n v="0"/>
  </r>
  <r>
    <x v="14"/>
    <n v="8"/>
    <n v="13.7"/>
    <n v="34.79999999999999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n v="29832199"/>
  </r>
  <r>
    <x v="1"/>
    <n v="6993450.75"/>
  </r>
  <r>
    <x v="2"/>
    <n v="12653225.5"/>
  </r>
  <r>
    <x v="0"/>
    <n v="29832199"/>
  </r>
  <r>
    <x v="3"/>
    <n v="5828866"/>
  </r>
  <r>
    <x v="4"/>
    <n v="10044821.5"/>
  </r>
  <r>
    <x v="5"/>
    <n v="3158517.25"/>
  </r>
  <r>
    <x v="6"/>
    <n v="39163517.25"/>
  </r>
  <r>
    <x v="7"/>
    <n v="22069563.5"/>
  </r>
  <r>
    <x v="8"/>
    <n v="19800913"/>
  </r>
  <r>
    <x v="9"/>
    <n v="12985716.25"/>
  </r>
  <r>
    <x v="10"/>
    <n v="7765839"/>
  </r>
  <r>
    <x v="11"/>
    <n v="672449.2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29832199"/>
    <n v="0"/>
    <n v="8.25"/>
    <n v="3.5"/>
    <n v="1213.0899999999999"/>
    <n v="1241.42"/>
    <n v="73.2"/>
    <n v="2473"/>
    <n v="2.2999999999999998"/>
    <n v="1"/>
  </r>
  <r>
    <x v="1"/>
    <x v="1"/>
    <n v="6993450.75"/>
    <n v="5"/>
    <n v="6.25"/>
    <n v="3.6"/>
    <n v="1478.81"/>
    <n v="1498.72"/>
    <n v="84.6"/>
    <n v="3467"/>
    <n v="1.3"/>
    <n v="4"/>
  </r>
  <r>
    <x v="2"/>
    <x v="2"/>
    <n v="12653225.5"/>
    <n v="4.95"/>
    <n v="10.25"/>
    <n v="5.3"/>
    <n v="1166.8900000000001"/>
    <n v="1174.1099999999999"/>
    <n v="79"/>
    <n v="2667"/>
    <n v="0.6"/>
    <n v="6"/>
  </r>
  <r>
    <x v="3"/>
    <x v="0"/>
    <n v="29832199"/>
    <n v="0"/>
    <n v="8.25"/>
    <n v="3.9"/>
    <n v="1243.1099999999999"/>
    <n v="1264.1600000000001"/>
    <n v="77.099999999999994"/>
    <n v="2550"/>
    <n v="1.7"/>
    <n v="11"/>
  </r>
  <r>
    <x v="4"/>
    <x v="3"/>
    <n v="5828866"/>
    <n v="4.55"/>
    <n v="7.65"/>
    <n v="4.5"/>
    <n v="1344.9"/>
    <n v="1375.3"/>
    <n v="81.7"/>
    <n v="2699"/>
    <n v="2.2999999999999998"/>
    <n v="3"/>
  </r>
  <r>
    <x v="5"/>
    <x v="4"/>
    <n v="10044821.5"/>
    <n v="4.25"/>
    <n v="6"/>
    <n v="5"/>
    <n v="1229.8900000000001"/>
    <n v="1222.92"/>
    <n v="74"/>
    <n v="2006"/>
    <n v="-0.6"/>
    <n v="14"/>
  </r>
  <r>
    <x v="6"/>
    <x v="5"/>
    <n v="3158517.25"/>
    <n v="0"/>
    <n v="8.3800000000000008"/>
    <n v="5.8"/>
    <n v="994.65"/>
    <n v="1045.81"/>
    <n v="72.7"/>
    <n v="2246"/>
    <n v="5.0999999999999996"/>
    <n v="12"/>
  </r>
  <r>
    <x v="7"/>
    <x v="6"/>
    <n v="39163517.25"/>
    <n v="13.3"/>
    <n v="9.5"/>
    <n v="5.6"/>
    <n v="1314.78"/>
    <n v="1302.51"/>
    <n v="78.7"/>
    <n v="3187"/>
    <n v="-0.9"/>
    <n v="10"/>
  </r>
  <r>
    <x v="8"/>
    <x v="7"/>
    <n v="22069563.5"/>
    <n v="0"/>
    <n v="7"/>
    <n v="2.9"/>
    <n v="1061.05"/>
    <n v="1047.54"/>
    <n v="81.900000000000006"/>
    <n v="3103"/>
    <n v="-1.3"/>
    <n v="9"/>
  </r>
  <r>
    <x v="9"/>
    <x v="8"/>
    <n v="19800913"/>
    <n v="10.9"/>
    <n v="8.875"/>
    <n v="4.4000000000000004"/>
    <n v="1269.2"/>
    <n v="1269.3599999999999"/>
    <n v="100"/>
    <n v="4051"/>
    <n v="0"/>
    <n v="15"/>
  </r>
  <r>
    <x v="10"/>
    <x v="9"/>
    <n v="12985716.25"/>
    <n v="3.07"/>
    <n v="7"/>
    <n v="3.3"/>
    <n v="1038.3"/>
    <n v="1017.27"/>
    <n v="77.8"/>
    <n v="2223"/>
    <n v="-2"/>
    <n v="13"/>
  </r>
  <r>
    <x v="11"/>
    <x v="6"/>
    <n v="39163517.25"/>
    <n v="13.3"/>
    <n v="8.5"/>
    <n v="4.4000000000000004"/>
    <n v="1617.09"/>
    <n v="1554.4"/>
    <n v="99.6"/>
    <n v="3781"/>
    <n v="-3.9"/>
    <n v="5"/>
  </r>
  <r>
    <x v="12"/>
    <x v="10"/>
    <n v="7765839"/>
    <n v="0"/>
    <n v="10.1"/>
    <n v="4.4000000000000004"/>
    <n v="1496.7"/>
    <n v="1481.43"/>
    <n v="92.9"/>
    <n v="2908"/>
    <n v="-1"/>
    <n v="2"/>
  </r>
  <r>
    <x v="13"/>
    <x v="7"/>
    <n v="22069563.5"/>
    <n v="0"/>
    <n v="7.5"/>
    <n v="3.8"/>
    <n v="1085.81"/>
    <n v="1178.93"/>
    <n v="76.3"/>
    <n v="2518"/>
    <n v="8.6"/>
    <n v="8"/>
  </r>
  <r>
    <x v="14"/>
    <x v="11"/>
    <n v="672449.25"/>
    <n v="10.75"/>
    <n v="6"/>
    <n v="3.1"/>
    <n v="1473.12"/>
    <n v="1440.74"/>
    <n v="83.8"/>
    <n v="3139"/>
    <n v="-2.2000000000000002"/>
    <n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3CE7D4-83D0-4AFC-956D-0143B880667A}" name="Ranking"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B37" firstHeaderRow="1" firstDataRow="1" firstDataCol="1"/>
  <pivotFields count="12">
    <pivotField axis="axisRow" showAll="0">
      <items count="16">
        <item x="0"/>
        <item x="1"/>
        <item x="2"/>
        <item x="3"/>
        <item x="4"/>
        <item x="5"/>
        <item x="6"/>
        <item x="7"/>
        <item x="8"/>
        <item x="9"/>
        <item x="10"/>
        <item x="11"/>
        <item x="12"/>
        <item x="13"/>
        <item x="14"/>
        <item t="default"/>
      </items>
    </pivotField>
    <pivotField showAll="0"/>
    <pivotField numFmtId="167" showAll="0"/>
    <pivotField numFmtId="166" showAll="0"/>
    <pivotField numFmtId="166" showAll="0"/>
    <pivotField numFmtId="166" showAll="0"/>
    <pivotField numFmtId="165" showAll="0"/>
    <pivotField numFmtId="165" showAll="0"/>
    <pivotField showAll="0"/>
    <pivotField numFmtId="164" showAll="0"/>
    <pivotField numFmtId="166" showAll="0"/>
    <pivotField dataField="1" showAll="0"/>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Sum of Ranking"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D4EEAC-574F-4342-869C-DCD68CDFA85A}" name="Sales Tax"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2">
  <location ref="A45:B61" firstHeaderRow="1" firstDataRow="1" firstDataCol="1"/>
  <pivotFields count="2">
    <pivotField axis="axisRow" compact="0" outline="0" showAll="0" sortType="descending">
      <items count="16">
        <item x="0"/>
        <item x="1"/>
        <item x="2"/>
        <item x="3"/>
        <item x="4"/>
        <item x="5"/>
        <item x="6"/>
        <item x="7"/>
        <item x="8"/>
        <item x="9"/>
        <item x="10"/>
        <item x="11"/>
        <item x="12"/>
        <item x="13"/>
        <item x="14"/>
        <item t="default"/>
      </items>
      <autoSortScope>
        <pivotArea dataOnly="0" outline="0" fieldPosition="0">
          <references count="1">
            <reference field="4294967294" count="1" selected="0">
              <x v="0"/>
            </reference>
          </references>
        </pivotArea>
      </autoSortScope>
    </pivotField>
    <pivotField dataField="1" compact="0" outline="0" showAll="0"/>
  </pivotFields>
  <rowFields count="1">
    <field x="0"/>
  </rowFields>
  <rowItems count="16">
    <i>
      <x v="2"/>
    </i>
    <i>
      <x v="12"/>
    </i>
    <i>
      <x v="7"/>
    </i>
    <i>
      <x v="9"/>
    </i>
    <i>
      <x v="11"/>
    </i>
    <i>
      <x v="6"/>
    </i>
    <i>
      <x v="3"/>
    </i>
    <i>
      <x/>
    </i>
    <i>
      <x v="4"/>
    </i>
    <i>
      <x v="13"/>
    </i>
    <i>
      <x v="10"/>
    </i>
    <i>
      <x v="8"/>
    </i>
    <i>
      <x v="1"/>
    </i>
    <i>
      <x v="14"/>
    </i>
    <i>
      <x v="5"/>
    </i>
    <i t="grand">
      <x/>
    </i>
  </rowItems>
  <colItems count="1">
    <i/>
  </colItems>
  <dataFields count="1">
    <dataField name="Sum of Avg. Local Sales Tax (%)" fld="1" baseField="0" baseItem="0"/>
  </dataFields>
  <formats count="15">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outline="0" fieldPosition="0">
        <references count="1">
          <reference field="0" count="0"/>
        </references>
      </pivotArea>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outline="0" fieldPosition="0">
        <references count="1">
          <reference field="0" count="0"/>
        </references>
      </pivotArea>
    </format>
    <format dxfId="9">
      <pivotArea dataOnly="0" labelOnly="1" grandRow="1" outline="0" fieldPosition="0"/>
    </format>
    <format dxfId="8">
      <pivotArea dataOnly="0" labelOnly="1" outline="0" axis="axisValues" fieldPosition="0"/>
    </format>
    <format dxfId="7">
      <pivotArea field="0" type="button" dataOnly="0" labelOnly="1" outline="0" axis="axisRow" fieldPosition="0"/>
    </format>
    <format dxfId="6">
      <pivotArea dataOnly="0" labelOnly="1" outline="0" axis="axisValues" fieldPosition="0"/>
    </format>
    <format dxfId="5">
      <pivotArea outline="0" fieldPosition="0">
        <references count="1">
          <reference field="0"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9671C5-BC33-4DBB-8D6E-238EE70373DB}" name="PivotTable6" cacheId="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63:B76" firstHeaderRow="1" firstDataRow="1" firstDataCol="1"/>
  <pivotFields count="2">
    <pivotField axis="axisRow" compact="0" outline="0" showAll="0">
      <items count="13">
        <item x="6"/>
        <item x="3"/>
        <item x="11"/>
        <item x="7"/>
        <item x="2"/>
        <item x="1"/>
        <item x="4"/>
        <item x="5"/>
        <item x="8"/>
        <item x="9"/>
        <item x="0"/>
        <item x="10"/>
        <item t="default"/>
      </items>
    </pivotField>
    <pivotField dataField="1" compact="0" numFmtId="3" outline="0" showAll="0"/>
  </pivotFields>
  <rowFields count="1">
    <field x="0"/>
  </rowFields>
  <rowItems count="13">
    <i>
      <x/>
    </i>
    <i>
      <x v="1"/>
    </i>
    <i>
      <x v="2"/>
    </i>
    <i>
      <x v="3"/>
    </i>
    <i>
      <x v="4"/>
    </i>
    <i>
      <x v="5"/>
    </i>
    <i>
      <x v="6"/>
    </i>
    <i>
      <x v="7"/>
    </i>
    <i>
      <x v="8"/>
    </i>
    <i>
      <x v="9"/>
    </i>
    <i>
      <x v="10"/>
    </i>
    <i>
      <x v="11"/>
    </i>
    <i t="grand">
      <x/>
    </i>
  </rowItems>
  <colItems count="1">
    <i/>
  </colItems>
  <dataFields count="1">
    <dataField name="Sum of Average" fld="1"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005472-F001-4DCA-9C84-5B6C1F2D1ED4}" name="PivotTable1"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1">
  <location ref="A5:B21" firstHeaderRow="1" firstDataRow="1" firstDataCol="1"/>
  <pivotFields count="5">
    <pivotField name="      " axis="axisRow" compact="0" outline="0" showAll="0">
      <items count="16">
        <item x="0"/>
        <item n="69" x="1"/>
        <item x="2"/>
        <item n="\" x="3"/>
        <item x="4"/>
        <item x="5"/>
        <item x="6"/>
        <item x="7"/>
        <item x="8"/>
        <item x="9"/>
        <item x="10"/>
        <item x="11"/>
        <item x="12"/>
        <item x="13"/>
        <item x="14"/>
        <item t="default"/>
      </items>
    </pivotField>
    <pivotField compact="0" outline="0" showAll="0"/>
    <pivotField dataField="1" compact="0" outline="0" showAll="0"/>
    <pivotField compact="0" outline="0" showAll="0"/>
    <pivotField compact="0" outline="0" showAll="0"/>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Sum of Average Water Quality Violations (ppm)" fld="2" baseField="0" baseItem="0"/>
  </dataFields>
  <formats count="17">
    <format dxfId="36">
      <pivotArea field="0" type="button" dataOnly="0" labelOnly="1" outline="0" axis="axisRow" fieldPosition="0"/>
    </format>
    <format dxfId="35">
      <pivotArea dataOnly="0" labelOnly="1" outline="0" fieldPosition="0">
        <references count="1">
          <reference field="4294967294" count="1">
            <x v="0"/>
          </reference>
        </references>
      </pivotArea>
    </format>
    <format dxfId="34">
      <pivotArea type="all" dataOnly="0" outline="0" fieldPosition="0"/>
    </format>
    <format dxfId="33">
      <pivotArea outline="0" collapsedLevelsAreSubtotals="1" fieldPosition="0"/>
    </format>
    <format dxfId="32">
      <pivotArea dataOnly="0" labelOnly="1" outline="0" fieldPosition="0">
        <references count="1">
          <reference field="0" count="0"/>
        </references>
      </pivotArea>
    </format>
    <format dxfId="31">
      <pivotArea dataOnly="0" labelOnly="1" grandRow="1" outline="0" fieldPosition="0"/>
    </format>
    <format dxfId="30">
      <pivotArea dataOnly="0" labelOnly="1" outline="0" fieldPosition="0">
        <references count="1">
          <reference field="4294967294" count="1">
            <x v="0"/>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0" count="0"/>
        </references>
      </pivotArea>
    </format>
    <format dxfId="26">
      <pivotArea dataOnly="0" labelOnly="1" grandRow="1" outline="0" fieldPosition="0"/>
    </format>
    <format dxfId="25">
      <pivotArea dataOnly="0" labelOnly="1" outline="0" fieldPosition="0">
        <references count="1">
          <reference field="4294967294" count="1">
            <x v="0"/>
          </reference>
        </references>
      </pivotArea>
    </format>
    <format dxfId="24">
      <pivotArea dataOnly="0" labelOnly="1" outline="0" axis="axisValues" fieldPosition="0"/>
    </format>
    <format dxfId="23">
      <pivotArea field="0" type="button" dataOnly="0" labelOnly="1" outline="0" axis="axisRow" fieldPosition="0"/>
    </format>
    <format dxfId="22">
      <pivotArea dataOnly="0" labelOnly="1" outline="0" axis="axisValues" fieldPosition="0"/>
    </format>
    <format dxfId="21">
      <pivotArea field="0" type="button" dataOnly="0" labelOnly="1" outline="0" axis="axisRow"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CECFC0-8343-411A-BC6B-A3745A164468}" name="Average_Population"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34:B147" firstHeaderRow="1" firstDataRow="1" firstDataCol="1"/>
  <pivotFields count="12">
    <pivotField showAll="0">
      <items count="16">
        <item x="0"/>
        <item x="1"/>
        <item x="2"/>
        <item x="3"/>
        <item x="4"/>
        <item x="5"/>
        <item x="6"/>
        <item x="7"/>
        <item x="8"/>
        <item x="9"/>
        <item x="10"/>
        <item x="11"/>
        <item x="12"/>
        <item x="13"/>
        <item x="14"/>
        <item t="default"/>
      </items>
    </pivotField>
    <pivotField axis="axisRow" showAll="0" sortType="ascending">
      <items count="13">
        <item x="6"/>
        <item x="3"/>
        <item x="11"/>
        <item x="7"/>
        <item x="2"/>
        <item x="1"/>
        <item x="4"/>
        <item x="5"/>
        <item x="8"/>
        <item x="9"/>
        <item x="0"/>
        <item x="10"/>
        <item t="default"/>
      </items>
      <autoSortScope>
        <pivotArea dataOnly="0" outline="0" fieldPosition="0">
          <references count="1">
            <reference field="4294967294" count="1" selected="0">
              <x v="0"/>
            </reference>
          </references>
        </pivotArea>
      </autoSortScope>
    </pivotField>
    <pivotField dataField="1" numFmtId="167" showAll="0"/>
    <pivotField showAll="0"/>
    <pivotField numFmtId="166" showAll="0"/>
    <pivotField numFmtId="166" showAll="0"/>
    <pivotField numFmtId="165" showAll="0"/>
    <pivotField numFmtId="165" showAll="0"/>
    <pivotField showAll="0"/>
    <pivotField numFmtId="164" showAll="0"/>
    <pivotField numFmtId="166" showAll="0"/>
    <pivotField showAll="0"/>
  </pivotFields>
  <rowFields count="1">
    <field x="1"/>
  </rowFields>
  <rowItems count="13">
    <i>
      <x v="2"/>
    </i>
    <i>
      <x v="7"/>
    </i>
    <i>
      <x v="1"/>
    </i>
    <i>
      <x v="5"/>
    </i>
    <i>
      <x v="11"/>
    </i>
    <i>
      <x v="6"/>
    </i>
    <i>
      <x v="4"/>
    </i>
    <i>
      <x v="9"/>
    </i>
    <i>
      <x v="8"/>
    </i>
    <i>
      <x v="3"/>
    </i>
    <i>
      <x v="10"/>
    </i>
    <i>
      <x/>
    </i>
    <i t="grand">
      <x/>
    </i>
  </rowItems>
  <colItems count="1">
    <i/>
  </colItems>
  <dataFields count="1">
    <dataField name="Sum of  Average Population" fld="2" baseField="1" baseItem="2" numFmtId="168"/>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374EE5-40E0-48DB-B5D7-B4A21A350D9B}" name="Local_Tax"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98:B114" firstHeaderRow="1" firstDataRow="1" firstDataCol="1"/>
  <pivotFields count="12">
    <pivotField axis="axisRow" showAll="0" sortType="descending">
      <items count="16">
        <item x="0"/>
        <item x="1"/>
        <item x="2"/>
        <item x="3"/>
        <item x="4"/>
        <item x="5"/>
        <item x="6"/>
        <item x="7"/>
        <item x="8"/>
        <item x="9"/>
        <item x="10"/>
        <item x="11"/>
        <item x="12"/>
        <item x="13"/>
        <item x="14"/>
        <item t="default"/>
      </items>
      <autoSortScope>
        <pivotArea dataOnly="0" outline="0" fieldPosition="0">
          <references count="1">
            <reference field="4294967294" count="1" selected="0">
              <x v="0"/>
            </reference>
          </references>
        </pivotArea>
      </autoSortScope>
    </pivotField>
    <pivotField showAll="0">
      <items count="13">
        <item x="6"/>
        <item x="3"/>
        <item x="11"/>
        <item x="7"/>
        <item x="2"/>
        <item x="1"/>
        <item x="4"/>
        <item x="5"/>
        <item x="8"/>
        <item x="9"/>
        <item x="0"/>
        <item x="10"/>
        <item t="default"/>
      </items>
    </pivotField>
    <pivotField numFmtId="167" showAll="0"/>
    <pivotField numFmtId="166" showAll="0"/>
    <pivotField dataField="1" numFmtId="166" showAll="0"/>
    <pivotField numFmtId="166" showAll="0"/>
    <pivotField numFmtId="165" showAll="0"/>
    <pivotField numFmtId="165" showAll="0"/>
    <pivotField showAll="0"/>
    <pivotField numFmtId="164" showAll="0"/>
    <pivotField numFmtId="166" showAll="0"/>
    <pivotField showAll="0"/>
  </pivotFields>
  <rowFields count="1">
    <field x="0"/>
  </rowFields>
  <rowItems count="16">
    <i>
      <x v="2"/>
    </i>
    <i>
      <x v="12"/>
    </i>
    <i>
      <x v="7"/>
    </i>
    <i>
      <x v="9"/>
    </i>
    <i>
      <x v="11"/>
    </i>
    <i>
      <x v="6"/>
    </i>
    <i>
      <x v="3"/>
    </i>
    <i>
      <x/>
    </i>
    <i>
      <x v="4"/>
    </i>
    <i>
      <x v="13"/>
    </i>
    <i>
      <x v="10"/>
    </i>
    <i>
      <x v="8"/>
    </i>
    <i>
      <x v="1"/>
    </i>
    <i>
      <x v="14"/>
    </i>
    <i>
      <x v="5"/>
    </i>
    <i t="grand">
      <x/>
    </i>
  </rowItems>
  <colItems count="1">
    <i/>
  </colItems>
  <dataFields count="1">
    <dataField name="Sum of Avg. Local Sales Tax (%)" fld="4" baseField="0" baseItem="0"/>
  </dataFields>
  <formats count="1">
    <format dxfId="37">
      <pivotArea collapsedLevelsAreSubtotals="1" fieldPosition="0">
        <references count="1">
          <reference field="0" count="0"/>
        </references>
      </pivotArea>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11B9C3-F848-495F-BE8D-99F73FE4BDAF}" name="Weekly Earnings"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27:C43" firstHeaderRow="0" firstDataRow="1" firstDataCol="1"/>
  <pivotFields count="7">
    <pivotField axis="axisRow" compact="0" outline="0" showAll="0">
      <items count="16">
        <item x="0"/>
        <item x="1"/>
        <item x="2"/>
        <item x="3"/>
        <item x="4"/>
        <item x="5"/>
        <item x="6"/>
        <item x="7"/>
        <item x="8"/>
        <item x="9"/>
        <item x="10"/>
        <item x="11"/>
        <item x="12"/>
        <item x="13"/>
        <item x="14"/>
        <item t="default"/>
      </items>
    </pivotField>
    <pivotField compact="0" outline="0" showAll="0"/>
    <pivotField dataField="1" compact="0" numFmtId="165" outline="0" showAll="0"/>
    <pivotField dataField="1" compact="0" numFmtId="165" outline="0" showAll="0"/>
    <pivotField compact="0" outline="0" showAll="0"/>
    <pivotField compact="0" outline="0" showAll="0"/>
    <pivotField compact="0" outline="0" showAll="0"/>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2023" fld="2" baseField="0" baseItem="0"/>
    <dataField name="2024" fld="3" baseField="0" baseItem="0"/>
  </dataFields>
  <formats count="15">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outline="0" fieldPosition="0">
        <references count="1">
          <reference field="0" count="0"/>
        </references>
      </pivotArea>
    </format>
    <format dxfId="48">
      <pivotArea dataOnly="0" labelOnly="1" grandRow="1" outline="0" fieldPosition="0"/>
    </format>
    <format dxfId="47">
      <pivotArea dataOnly="0" labelOnly="1" outline="0" fieldPosition="0">
        <references count="1">
          <reference field="4294967294" count="2">
            <x v="0"/>
            <x v="1"/>
          </reference>
        </references>
      </pivotArea>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outline="0" fieldPosition="0">
        <references count="1">
          <reference field="0" count="0"/>
        </references>
      </pivotArea>
    </format>
    <format dxfId="42">
      <pivotArea dataOnly="0" labelOnly="1" grandRow="1" outline="0" fieldPosition="0"/>
    </format>
    <format dxfId="41">
      <pivotArea dataOnly="0" labelOnly="1" outline="0" fieldPosition="0">
        <references count="1">
          <reference field="4294967294" count="2">
            <x v="0"/>
            <x v="1"/>
          </reference>
        </references>
      </pivotArea>
    </format>
    <format dxfId="40">
      <pivotArea outline="0" fieldPosition="0">
        <references count="1">
          <reference field="0" count="0" selected="0"/>
        </references>
      </pivotArea>
    </format>
    <format dxfId="39">
      <pivotArea field="0" type="button" dataOnly="0" labelOnly="1" outline="0" axis="axisRow" fieldPosition="0"/>
    </format>
    <format dxfId="3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EF20718-6CF1-4675-B4F4-05651FAA4DD0}" name="PivotTable5"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A78:B91" firstHeaderRow="1" firstDataRow="1" firstDataCol="1"/>
  <pivotFields count="2">
    <pivotField axis="axisRow" compact="0" outline="0" showAll="0">
      <items count="13">
        <item x="6"/>
        <item x="3"/>
        <item x="11"/>
        <item x="7"/>
        <item x="2"/>
        <item x="1"/>
        <item x="4"/>
        <item x="5"/>
        <item x="8"/>
        <item x="9"/>
        <item x="0"/>
        <item x="10"/>
        <item t="default"/>
      </items>
    </pivotField>
    <pivotField dataField="1" compact="0" numFmtId="10" outline="0" showAll="0"/>
  </pivotFields>
  <rowFields count="1">
    <field x="0"/>
  </rowFields>
  <rowItems count="13">
    <i>
      <x/>
    </i>
    <i>
      <x v="1"/>
    </i>
    <i>
      <x v="2"/>
    </i>
    <i>
      <x v="3"/>
    </i>
    <i>
      <x v="4"/>
    </i>
    <i>
      <x v="5"/>
    </i>
    <i>
      <x v="6"/>
    </i>
    <i>
      <x v="7"/>
    </i>
    <i>
      <x v="8"/>
    </i>
    <i>
      <x v="9"/>
    </i>
    <i>
      <x v="10"/>
    </i>
    <i>
      <x v="11"/>
    </i>
    <i t="grand">
      <x/>
    </i>
  </rowItems>
  <colItems count="1">
    <i/>
  </colItems>
  <dataFields count="1">
    <dataField name="Average of Change in Population (2020-2023)" fld="1" subtotal="average" baseField="0" baseItem="0"/>
  </dataFields>
  <formats count="15">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outline="0" fieldPosition="0">
        <references count="1">
          <reference field="0" count="0"/>
        </references>
      </pivotArea>
    </format>
    <format dxfId="63">
      <pivotArea dataOnly="0" labelOnly="1" grandRow="1" outline="0"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outline="0" fieldPosition="0">
        <references count="1">
          <reference field="0" count="0"/>
        </references>
      </pivotArea>
    </format>
    <format dxfId="57">
      <pivotArea dataOnly="0" labelOnly="1" grandRow="1" outline="0" fieldPosition="0"/>
    </format>
    <format dxfId="56">
      <pivotArea dataOnly="0" labelOnly="1" outline="0" axis="axisValues" fieldPosition="0"/>
    </format>
    <format dxfId="55">
      <pivotArea field="0" type="button" dataOnly="0" labelOnly="1" outline="0" axis="axisRow" fieldPosition="0"/>
    </format>
    <format dxfId="54">
      <pivotArea dataOnly="0" labelOnly="1" outline="0" axis="axisValues" fieldPosition="0"/>
    </format>
    <format dxfId="53">
      <pivotArea outline="0" fieldPosition="0">
        <references count="1">
          <reference field="0" count="0" selected="0"/>
        </references>
      </pivotArea>
    </format>
  </formats>
  <chartFormats count="1">
    <chartFormat chart="8"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5FDE9F0-8462-4181-A972-F94AB1B9CC1C}" name="Snowfall"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D5:F21" firstHeaderRow="0" firstDataRow="1" firstDataCol="1"/>
  <pivotFields count="4">
    <pivotField name="City" axis="axisRow" compact="0" outline="0" showAll="0">
      <items count="16">
        <item x="0"/>
        <item x="1"/>
        <item x="2"/>
        <item x="3"/>
        <item x="4"/>
        <item x="5"/>
        <item x="6"/>
        <item x="7"/>
        <item x="8"/>
        <item x="9"/>
        <item x="10"/>
        <item x="11"/>
        <item x="12"/>
        <item x="13"/>
        <item x="14"/>
        <item t="default"/>
      </items>
    </pivotField>
    <pivotField dataField="1" compact="0" outline="0" showAll="0"/>
    <pivotField dataField="1" compact="0" outline="0" showAll="0"/>
    <pivotField compact="0" outline="0" showAll="0"/>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Avg Snowy Days" fld="1" baseField="0" baseItem="0"/>
    <dataField name="Average Snowfall (in Inches)" fld="2" baseField="0" baseItem="0"/>
  </dataFields>
  <formats count="4">
    <format dxfId="71">
      <pivotArea field="0" type="button" dataOnly="0" labelOnly="1" outline="0" axis="axisRow" fieldPosition="0"/>
    </format>
    <format dxfId="70">
      <pivotArea dataOnly="0" labelOnly="1" outline="0" fieldPosition="0">
        <references count="1">
          <reference field="4294967294" count="2">
            <x v="0"/>
            <x v="1"/>
          </reference>
        </references>
      </pivotArea>
    </format>
    <format dxfId="69">
      <pivotArea field="0" type="button" dataOnly="0" labelOnly="1" outline="0" axis="axisRow" fieldPosition="0"/>
    </format>
    <format dxfId="68">
      <pivotArea dataOnly="0" labelOnly="1" outline="0" fieldPosition="0">
        <references count="1">
          <reference field="4294967294" count="2">
            <x v="0"/>
            <x v="1"/>
          </reference>
        </references>
      </pivotArea>
    </format>
  </formats>
  <chartFormats count="2">
    <chartFormat chart="3" format="17" series="1">
      <pivotArea type="data" outline="0" fieldPosition="0">
        <references count="1">
          <reference field="4294967294" count="1" selected="0">
            <x v="1"/>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D4B1F87-D244-4A4A-BCFF-FD8CF1E59FC5}"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ity">
  <location ref="E27:G43" firstHeaderRow="0" firstDataRow="1" firstDataCol="1"/>
  <pivotFields count="12">
    <pivotField axis="axisRow" showAll="0">
      <items count="16">
        <item x="0"/>
        <item x="1"/>
        <item x="2"/>
        <item x="3"/>
        <item x="4"/>
        <item x="5"/>
        <item x="6"/>
        <item x="7"/>
        <item x="8"/>
        <item x="9"/>
        <item x="10"/>
        <item x="11"/>
        <item x="12"/>
        <item x="13"/>
        <item x="14"/>
        <item t="default"/>
      </items>
    </pivotField>
    <pivotField showAll="0">
      <items count="13">
        <item x="6"/>
        <item x="3"/>
        <item x="11"/>
        <item x="7"/>
        <item x="2"/>
        <item x="1"/>
        <item x="4"/>
        <item x="5"/>
        <item x="8"/>
        <item x="9"/>
        <item x="0"/>
        <item x="10"/>
        <item t="default"/>
      </items>
    </pivotField>
    <pivotField numFmtId="167" showAll="0"/>
    <pivotField numFmtId="166" showAll="0"/>
    <pivotField numFmtId="166" showAll="0"/>
    <pivotField numFmtId="166" showAll="0"/>
    <pivotField numFmtId="165" showAll="0"/>
    <pivotField numFmtId="165" showAll="0"/>
    <pivotField dataField="1" showAll="0"/>
    <pivotField dataField="1" numFmtId="164" showAll="0"/>
    <pivotField numFmtId="166" showAll="0"/>
    <pivotField showAll="0"/>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 Average Monthly Cost (USD)" fld="9" baseField="0" baseItem="19" numFmtId="164"/>
    <dataField name=" Cost of Living Index" fld="8" baseField="0" baseItem="1180634112"/>
  </dataFields>
  <formats count="6">
    <format dxfId="77">
      <pivotArea field="0" type="button" dataOnly="0" labelOnly="1" outline="0" axis="axisRow" fieldPosition="0"/>
    </format>
    <format dxfId="76">
      <pivotArea dataOnly="0" labelOnly="1" outline="0" fieldPosition="0">
        <references count="1">
          <reference field="4294967294" count="2">
            <x v="0"/>
            <x v="1"/>
          </reference>
        </references>
      </pivotArea>
    </format>
    <format dxfId="75">
      <pivotArea field="0" type="button" dataOnly="0" labelOnly="1" outline="0" axis="axisRow" fieldPosition="0"/>
    </format>
    <format dxfId="74">
      <pivotArea dataOnly="0" labelOnly="1" outline="0" fieldPosition="0">
        <references count="1">
          <reference field="4294967294" count="2">
            <x v="0"/>
            <x v="1"/>
          </reference>
        </references>
      </pivotArea>
    </format>
    <format dxfId="73">
      <pivotArea field="0" type="button" dataOnly="0" labelOnly="1" outline="0" axis="axisRow" fieldPosition="0"/>
    </format>
    <format dxfId="72">
      <pivotArea dataOnly="0" labelOnly="1" outline="0" fieldPosition="0">
        <references count="1">
          <reference field="4294967294" count="2">
            <x v="0"/>
            <x v="1"/>
          </reference>
        </references>
      </pivotArea>
    </format>
  </format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9A46226-F787-4883-8B43-BB6484E3E6E7}" name="Weekly_Earnings"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98:F114" firstHeaderRow="0" firstDataRow="1" firstDataCol="1"/>
  <pivotFields count="12">
    <pivotField axis="axisRow" showAll="0">
      <items count="16">
        <item x="0"/>
        <item x="1"/>
        <item x="2"/>
        <item x="3"/>
        <item x="4"/>
        <item x="5"/>
        <item x="6"/>
        <item x="7"/>
        <item x="8"/>
        <item x="9"/>
        <item x="10"/>
        <item x="11"/>
        <item x="12"/>
        <item x="13"/>
        <item x="14"/>
        <item t="default"/>
      </items>
    </pivotField>
    <pivotField showAll="0">
      <items count="13">
        <item x="6"/>
        <item x="3"/>
        <item x="11"/>
        <item x="7"/>
        <item x="2"/>
        <item x="1"/>
        <item x="4"/>
        <item x="5"/>
        <item x="8"/>
        <item x="9"/>
        <item x="0"/>
        <item x="10"/>
        <item t="default"/>
      </items>
    </pivotField>
    <pivotField numFmtId="167" showAll="0"/>
    <pivotField numFmtId="166" showAll="0"/>
    <pivotField numFmtId="166" showAll="0"/>
    <pivotField numFmtId="166" showAll="0"/>
    <pivotField dataField="1" numFmtId="165" showAll="0"/>
    <pivotField dataField="1" numFmtId="165" showAll="0"/>
    <pivotField showAll="0"/>
    <pivotField numFmtId="164" showAll="0"/>
    <pivotField numFmtId="166" showAll="0"/>
    <pivotField showAll="0"/>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2023" fld="6" baseField="0" baseItem="0" numFmtId="164"/>
    <dataField name="2024" fld="7" baseField="0" baseItem="0"/>
  </dataFields>
  <formats count="2">
    <format dxfId="79">
      <pivotArea collapsedLevelsAreSubtotals="1" fieldPosition="0">
        <references count="1">
          <reference field="0" count="0"/>
        </references>
      </pivotArea>
    </format>
    <format dxfId="78">
      <pivotArea outline="0" fieldPosition="0">
        <references count="1">
          <reference field="4294967294" count="1">
            <x v="0"/>
          </reference>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6F4617E-FF8F-4EE6-97AD-221FFF5D83C8}" autoFormatId="16" applyNumberFormats="0" applyBorderFormats="0" applyFontFormats="0" applyPatternFormats="0" applyAlignmentFormats="0" applyWidthHeightFormats="0">
  <queryTableRefresh nextId="3">
    <queryTableFields count="2">
      <queryTableField id="1" name="Rank" tableColumnId="1"/>
      <queryTableField id="2" name="City, Stat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9B8EA86-5C9C-4B6E-9A11-FDF8E389DE14}" sourceName="City">
  <pivotTables>
    <pivotTable tabId="15" name="Weekly_Earnings"/>
    <pivotTable tabId="15" name="Local_Tax"/>
    <pivotTable tabId="14" name="Ranking"/>
    <pivotTable tabId="15" name="Average_Population"/>
    <pivotTable tabId="15" name="PivotTable2"/>
  </pivotTables>
  <data>
    <tabular pivotCacheId="1515445732">
      <items count="15">
        <i x="0" s="1"/>
        <i x="1" s="1"/>
        <i x="2" s="1"/>
        <i x="3" s="1"/>
        <i x="4" s="1"/>
        <i x="5" s="1"/>
        <i x="6" s="1"/>
        <i x="7" s="1"/>
        <i x="8" s="1"/>
        <i x="9" s="1"/>
        <i x="10" s="1"/>
        <i x="11" s="1"/>
        <i x="12" s="1"/>
        <i x="13" s="1"/>
        <i x="1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CFE25A4F-2714-4FF7-B247-B4620B28D04E}" sourceName="State">
  <pivotTables>
    <pivotTable tabId="15" name="Weekly_Earnings"/>
    <pivotTable tabId="15" name="Local_Tax"/>
    <pivotTable tabId="15" name="Average_Population"/>
    <pivotTable tabId="15" name="PivotTable2"/>
  </pivotTables>
  <data>
    <tabular pivotCacheId="1515445732">
      <items count="12">
        <i x="6" s="1"/>
        <i x="3" s="1"/>
        <i x="11" s="1"/>
        <i x="7" s="1"/>
        <i x="2" s="1"/>
        <i x="1" s="1"/>
        <i x="4" s="1"/>
        <i x="5" s="1"/>
        <i x="8" s="1"/>
        <i x="9" s="1"/>
        <i x="0"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0F06B31D-9B33-4413-B929-9805ACC7F0E6}" cache="Slicer_City" caption="City" columnCount="2" style="New Grp9" rowHeight="241300"/>
  <slicer name="State" xr10:uid="{BCD13106-89CB-4FD8-82AC-B91C767F98E9}" cache="Slicer_State" caption="State" columnCount="2" style="New Grp9"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9E68FB-F27E-4FB9-89AD-FD2E54B788A1}" name="Table15" displayName="Table15" ref="A1:P7" totalsRowShown="0" headerRowDxfId="182" dataDxfId="181" tableBorderDxfId="180">
  <autoFilter ref="A1:P7" xr:uid="{869E68FB-F27E-4FB9-89AD-FD2E54B788A1}"/>
  <tableColumns count="16">
    <tableColumn id="1" xr3:uid="{98ED43FC-D519-44BA-90AE-75AA38FE500F}" name="Tax Year" dataDxfId="179"/>
    <tableColumn id="2" xr3:uid="{00168284-A75D-4A08-A3DC-876FE233BF10}" name="Austin" dataDxfId="178"/>
    <tableColumn id="3" xr3:uid="{576E7859-37BA-4D04-975C-8435D425B43B}" name="Boston" dataDxfId="177"/>
    <tableColumn id="4" xr3:uid="{60FC8932-2F0F-413C-84D7-A6551505C96B}" name="Chicago" dataDxfId="176"/>
    <tableColumn id="5" xr3:uid="{BA2044F9-D57A-4BA4-B483-B4301E39C110}" name="Dallas" dataDxfId="175"/>
    <tableColumn id="6" xr3:uid="{323C3340-E14A-4FBA-BAFB-8DE700B386F0}" name="Denver" dataDxfId="174"/>
    <tableColumn id="7" xr3:uid="{F15034EB-00DE-47E2-8AAD-A268ED0CAFE0}" name="Detroit" dataDxfId="173"/>
    <tableColumn id="8" xr3:uid="{89256F5E-4135-4D4C-9949-CD6FE2357821}" name="Las Vegas" dataDxfId="172"/>
    <tableColumn id="9" xr3:uid="{F84E9DEB-3F1D-4CAE-87D3-B959E433B0AD}" name="Los Angeles" dataDxfId="171"/>
    <tableColumn id="10" xr3:uid="{7436E85B-FFDB-453C-A955-3CDCE9A43B42}" name="Miami" dataDxfId="170"/>
    <tableColumn id="11" xr3:uid="{40CAB891-1266-4E58-9CB7-ABB1C73794ED}" name="New York" dataDxfId="169"/>
    <tableColumn id="12" xr3:uid="{916D6C2E-FB44-45A3-A106-042541732CC1}" name="Pittsburgh" dataDxfId="168"/>
    <tableColumn id="13" xr3:uid="{DABE99CC-2532-424A-8DCB-D13301FB1F58}" name="San Francisco" dataDxfId="167"/>
    <tableColumn id="14" xr3:uid="{73250FF6-E301-4E42-8CD4-46F2E11A7557}" name="Seattle" dataDxfId="166"/>
    <tableColumn id="16" xr3:uid="{27914CEA-FE46-4960-9989-1AA3618114DB}" name="Tampa" dataDxfId="165"/>
    <tableColumn id="15" xr3:uid="{F6EE4C16-C96F-486A-8C02-709746795DFF}" name="Washington" dataDxfId="16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880AAF-E0E0-4BB3-B2B3-1AD89BE912E3}" name="Table2_17" displayName="Table2_17" ref="S16:T31" tableType="queryTable" totalsRowShown="0">
  <autoFilter ref="S16:T31" xr:uid="{4E880AAF-E0E0-4BB3-B2B3-1AD89BE912E3}"/>
  <tableColumns count="2">
    <tableColumn id="1" xr3:uid="{03CAFD25-F1EE-4BF7-AAC1-5D745EE587AE}" uniqueName="1" name="Rank" queryTableFieldId="1" dataDxfId="163"/>
    <tableColumn id="2" xr3:uid="{8E09F330-E5AB-48DB-B370-9EC6E6D59DD4}" uniqueName="2" name="City, State" queryTableFieldId="2" dataDxfId="16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2A6E407-3E79-4B1D-9692-D9D3EBC2FF95}" name="Table9" displayName="Table9" ref="A27:M28" totalsRowShown="0" headerRowDxfId="161" dataDxfId="160" tableBorderDxfId="159">
  <autoFilter ref="A27:M28" xr:uid="{A2A6E407-3E79-4B1D-9692-D9D3EBC2FF95}"/>
  <tableColumns count="13">
    <tableColumn id="1" xr3:uid="{1B8A90B4-8B5F-4CD9-ADFF-8F57251756E0}" name="Tax Year"/>
    <tableColumn id="2" xr3:uid="{024512A9-8B7B-48F2-B6B9-627C4ED053B2}" name="TX-Austin,Dallas" dataDxfId="158">
      <calculatedColumnFormula>AVERAGE(B23:B27)</calculatedColumnFormula>
    </tableColumn>
    <tableColumn id="3" xr3:uid="{D905469A-C916-4B1F-BF3E-0C32A33250BD}" name="MA-Boston" dataDxfId="157">
      <calculatedColumnFormula>AVERAGE(C23:C27)</calculatedColumnFormula>
    </tableColumn>
    <tableColumn id="4" xr3:uid="{CBB8848E-7BF4-47D0-997C-2B471AF36B6A}" name="IL-Chicago" dataDxfId="156">
      <calculatedColumnFormula>AVERAGE(D23:D27)</calculatedColumnFormula>
    </tableColumn>
    <tableColumn id="5" xr3:uid="{962DF92B-BB81-49B3-A8C8-44A237C69EEC}" name="CO-Denver" dataDxfId="155">
      <calculatedColumnFormula>AVERAGE(E23:E27)</calculatedColumnFormula>
    </tableColumn>
    <tableColumn id="6" xr3:uid="{AEC249EB-9B55-4980-ABDD-B5FAA0C0D528}" name="MI-Detroit" dataDxfId="154">
      <calculatedColumnFormula>AVERAGE(F23:F27)</calculatedColumnFormula>
    </tableColumn>
    <tableColumn id="7" xr3:uid="{A38BCED5-09A2-4556-8D58-5AC0D7947C9E}" name="NV-Las Vegas" dataDxfId="153">
      <calculatedColumnFormula>AVERAGE(G23:G27)</calculatedColumnFormula>
    </tableColumn>
    <tableColumn id="8" xr3:uid="{CF04D464-5394-492B-9AE3-B29E4A34A93A}" name="CA-Los Angeles, San Francisco" dataDxfId="152">
      <calculatedColumnFormula>AVERAGE(H23:H27)</calculatedColumnFormula>
    </tableColumn>
    <tableColumn id="9" xr3:uid="{71448A85-FF44-4F5E-87E3-DDB31BAD8BB9}" name="FL-Miami" dataDxfId="151">
      <calculatedColumnFormula>AVERAGE(I23:I27)</calculatedColumnFormula>
    </tableColumn>
    <tableColumn id="10" xr3:uid="{0A96BE27-D5E7-44E5-9A58-0419D307C38A}" name="NY-New York" dataDxfId="150">
      <calculatedColumnFormula>AVERAGE(J23:J27)</calculatedColumnFormula>
    </tableColumn>
    <tableColumn id="11" xr3:uid="{1972317F-1705-4EDA-81C6-882C401BC169}" name="PA-Pittsburgh" dataDxfId="149">
      <calculatedColumnFormula>AVERAGE(K23:K27)</calculatedColumnFormula>
    </tableColumn>
    <tableColumn id="12" xr3:uid="{1DCE5514-7F8F-4E19-A0D7-812EAC9ECF2A}" name="WA-Seattle" dataDxfId="148">
      <calculatedColumnFormula>AVERAGE(L23:L27)</calculatedColumnFormula>
    </tableColumn>
    <tableColumn id="13" xr3:uid="{6284BFB2-6135-4381-9304-374E9D1CBA42}" name="DC-Washington" dataDxfId="147">
      <calculatedColumnFormula>AVERAGE(M23:M27)</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5755791-D3DB-4784-A790-1FE0CC1F8431}" name="Table8" displayName="Table8" ref="A3:E18" totalsRowShown="0">
  <autoFilter ref="A3:E18" xr:uid="{45755791-D3DB-4784-A790-1FE0CC1F8431}"/>
  <sortState xmlns:xlrd2="http://schemas.microsoft.com/office/spreadsheetml/2017/richdata2" ref="A4:E18">
    <sortCondition ref="B3:B18"/>
  </sortState>
  <tableColumns count="5">
    <tableColumn id="1" xr3:uid="{962EE0A9-77C7-4681-8326-BB7C0B0D43DA}" name="State " dataDxfId="146"/>
    <tableColumn id="2" xr3:uid="{7509E9CC-CEB8-4A7E-AFB9-BF2635F73B28}" name="City"/>
    <tableColumn id="3" xr3:uid="{995F3DB3-8BD6-4F22-A5D5-6E3B038FBB1B}" name="Good Air Quality"/>
    <tableColumn id="4" xr3:uid="{6800C888-6383-4C76-85F5-A4C85416073A}" name="Moderate Air Quality "/>
    <tableColumn id="5" xr3:uid="{CEBEF18B-BFFD-4774-8E75-B1B04BC16FF4}" name="Unhealthy Air Qality"/>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6662E3-D8D0-4E8B-9C7F-6B8D4491AA8F}" name="Table2" displayName="Table2" ref="A1:E16" totalsRowShown="0" headerRowDxfId="145" dataDxfId="144">
  <autoFilter ref="A1:E16" xr:uid="{4D6662E3-D8D0-4E8B-9C7F-6B8D4491AA8F}"/>
  <tableColumns count="5">
    <tableColumn id="1" xr3:uid="{55487558-3EEA-46B5-8C1F-64E42200CA22}" name="Cities" dataDxfId="143"/>
    <tableColumn id="2" xr3:uid="{FC051172-7FA4-423E-80D5-70C05C9EE5D3}" name="Unemployment rates" dataDxfId="142"/>
    <tableColumn id="3" xr3:uid="{8475890C-FB00-4BA4-AE35-CFB29C07BC23}" name="Avg weekly earnings in 2023" dataDxfId="141"/>
    <tableColumn id="4" xr3:uid="{8FA47154-6E85-4163-9937-F1F9E85A833F}" name="Avg weekly earnings in 2024" dataDxfId="140"/>
    <tableColumn id="5" xr3:uid="{CBAA6A31-DD42-4BD6-BFB6-18A1AE29C5FB}" name="Percentage change (2023-24)" dataDxfId="139"/>
  </tableColumns>
  <tableStyleInfo name="TableStyleMedium2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F9E529-60E5-4FF8-9114-B15AF136BE4F}" name="Table4" displayName="Table4" ref="A1:D16" totalsRowShown="0" headerRowDxfId="138" dataDxfId="137">
  <autoFilter ref="A1:D16" xr:uid="{83F9E529-60E5-4FF8-9114-B15AF136BE4F}"/>
  <sortState xmlns:xlrd2="http://schemas.microsoft.com/office/spreadsheetml/2017/richdata2" ref="A2:D16">
    <sortCondition ref="C2:C16"/>
  </sortState>
  <tableColumns count="4">
    <tableColumn id="1" xr3:uid="{0F00990B-89AB-4445-AC43-8D70A5BB6FF4}" name="Cities" dataDxfId="136"/>
    <tableColumn id="2" xr3:uid="{0C5864F4-203F-4C99-981F-D020B34FBD6B}" name="avg number of days" dataDxfId="135"/>
    <tableColumn id="3" xr3:uid="{EFAD1B77-FC6A-4423-AA6E-362D02869C8B}" name="inches" dataDxfId="134"/>
    <tableColumn id="4" xr3:uid="{0F32013B-4632-4957-8A3D-2F4AEBCE7814}" name="cm" dataDxfId="133"/>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ED5B76-B1A1-49B4-8B5B-05F00E8FA65B}" name="Water_Quality" displayName="Water_Quality" ref="B2:D18" totalsRowShown="0">
  <autoFilter ref="B2:D18" xr:uid="{2AED5B76-B1A1-49B4-8B5B-05F00E8FA65B}"/>
  <sortState xmlns:xlrd2="http://schemas.microsoft.com/office/spreadsheetml/2017/richdata2" ref="B3:D18">
    <sortCondition ref="D2:D18"/>
  </sortState>
  <tableColumns count="3">
    <tableColumn id="1" xr3:uid="{F1437FDC-180E-4E16-BC28-AE23DB93A778}" name="City" dataDxfId="132"/>
    <tableColumn id="2" xr3:uid="{94BE9CA5-0765-4F2D-9336-2FF8D96FAB94}" name="State" dataDxfId="131"/>
    <tableColumn id="3" xr3:uid="{EC286DA7-252F-40CB-95EC-A9B8EA6FF93B}" name="Average Water Quality Violations (ppm)" dataDxfId="1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350E56-8A6A-4AE6-9F36-D4088605BC93}" name="Table5" displayName="Table5" ref="B2:I17" totalsRowShown="0" headerRowDxfId="129" dataDxfId="128">
  <autoFilter ref="B2:I17" xr:uid="{C6350E56-8A6A-4AE6-9F36-D4088605BC93}"/>
  <tableColumns count="8">
    <tableColumn id="1" xr3:uid="{A791424A-E170-4110-BE38-C275B137A85E}" name="City" dataDxfId="127"/>
    <tableColumn id="2" xr3:uid="{D26510C4-60CF-4AA6-AD7A-41F800A1455A}" name="Average Monthly Cost (USD)" dataDxfId="126"/>
    <tableColumn id="3" xr3:uid="{7F12002E-E3E6-40E3-8160-18F5E1C8320C}" name="Cost of Living Index" dataDxfId="125"/>
    <tableColumn id="4" xr3:uid="{0D864115-2FC8-4EA7-BC1F-0C0DCE96B164}" name="Rent Index" dataDxfId="124"/>
    <tableColumn id="5" xr3:uid="{CBEC9317-8757-4F6C-B631-E376CF7D26AF}" name="Cost of Living Plus Rent Index" dataDxfId="123"/>
    <tableColumn id="6" xr3:uid="{0AFA24AB-D829-435A-B7C2-DD2C45B93678}" name="Groceries Index" dataDxfId="122"/>
    <tableColumn id="7" xr3:uid="{75639BF3-E59F-4203-B35D-8D362737DBC2}" name="Restaurant Price Index" dataDxfId="121"/>
    <tableColumn id="8" xr3:uid="{9F4A99ED-101B-4CD0-917F-46E5D3886F73}" name="Local Purchasing Power Index" dataDxfId="1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00F3AA-1356-4449-9455-162573837DEB}" name="Table104" displayName="Table104" ref="B1:F16" totalsRowShown="0">
  <autoFilter ref="B1:F16" xr:uid="{97A6B759-DAC0-4537-8E85-B97964B1B184}"/>
  <tableColumns count="5">
    <tableColumn id="1" xr3:uid="{AD538F0D-8E67-4FF2-A0D9-4506FC6AF5F7}" name="City" dataDxfId="119"/>
    <tableColumn id="2" xr3:uid="{3370D71A-8ECA-4886-9D25-77BDA085EF99}" name="State "/>
    <tableColumn id="3" xr3:uid="{0AC35C7E-670C-42BE-B905-1F741833CD7F}" name="Average Water Quality Violations (ppm)" dataDxfId="118"/>
    <tableColumn id="4" xr3:uid="{7CF13648-069A-4E90-886B-FDE04591E95D}" name="Snow (in inches)" dataDxfId="117"/>
    <tableColumn id="5" xr3:uid="{5DE8AD8B-7C42-4822-BFCE-35D3CCFCB3BA}" name="Good Air Quality (%)" dataDxfId="116"/>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5AAF46E-E6A7-402A-84BC-76DDABC7679B}" name="Table1212" displayName="Table1212" ref="H1:N16" totalsRowShown="0" headerRowDxfId="115" tableBorderDxfId="114">
  <autoFilter ref="H1:N16" xr:uid="{81C2BF63-22D2-4823-81EC-A2881EF5BFE3}"/>
  <tableColumns count="7">
    <tableColumn id="1" xr3:uid="{2B012087-F7E3-4C8B-8567-F5D045138DA5}" name="City" dataDxfId="113"/>
    <tableColumn id="2" xr3:uid="{AA2498E0-F144-435D-B701-B753FD8F59CE}" name="State "/>
    <tableColumn id="3" xr3:uid="{F7AF908D-36EA-4C4C-B80D-8CFF62EFAA06}" name="Avg weekly earnings in 2023"/>
    <tableColumn id="4" xr3:uid="{41D58FEF-9A0A-43FF-8B50-CD4EC3C2C9F9}" name="Avg weekly earnings in 2024"/>
    <tableColumn id="5" xr3:uid="{79C9AB89-A7D3-4231-A3F6-F4A688669D55}" name="Average Monthly Cost (USD)"/>
    <tableColumn id="6" xr3:uid="{A6AF4544-DDF3-4DC5-AF9C-6B8F27743558}" name="Cost of Living Index"/>
    <tableColumn id="7" xr3:uid="{15780B05-7E8B-40D1-B8B9-0FD775D419C9}" name="Avg. Local Sales Tax (%)" dataDxfId="112"/>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8103E15-03EF-43B8-8D5A-D5F843385818}" name="Tax_WeeklyEarnings" displayName="Tax_WeeklyEarnings" ref="A1:L16" totalsRowShown="0" headerRowDxfId="111">
  <autoFilter ref="A1:L16" xr:uid="{B8103E15-03EF-43B8-8D5A-D5F843385818}"/>
  <sortState xmlns:xlrd2="http://schemas.microsoft.com/office/spreadsheetml/2017/richdata2" ref="A2:L16">
    <sortCondition ref="A1:A16"/>
  </sortState>
  <tableColumns count="12">
    <tableColumn id="1" xr3:uid="{A4319EA5-9B70-43B2-9989-08D32B41EAAD}" name="City"/>
    <tableColumn id="8" xr3:uid="{B875D7AC-83A6-4658-A588-6DE047216A4C}" name="State" dataDxfId="110"/>
    <tableColumn id="9" xr3:uid="{FB0DFC63-16D0-4C76-B96D-4EE1EC372468}" name=" Average Population" dataDxfId="109" dataCellStyle="Comma"/>
    <tableColumn id="2" xr3:uid="{0FB615C0-5A66-4C02-8DD9-58F992B158FF}" name="State Income Tax (%)" dataDxfId="108"/>
    <tableColumn id="3" xr3:uid="{002042BC-DF7E-4385-90B0-A29D6CD5CD09}" name="Avg. Local Sales Tax (%)" dataDxfId="107"/>
    <tableColumn id="4" xr3:uid="{566FD621-969F-45D1-87EE-5AC0B076E427}" name="Unemployment rates" dataDxfId="106"/>
    <tableColumn id="5" xr3:uid="{C03435C4-0252-4A30-A547-8794812C1A1A}" name="Avg weekly earnings in 2023" dataDxfId="105"/>
    <tableColumn id="6" xr3:uid="{808B76FF-198A-4C17-B63F-B0533ECB2B19}" name="Avg weekly earnings in 2024" dataDxfId="104"/>
    <tableColumn id="12" xr3:uid="{6AB7EA6B-3C1B-428B-9C67-C6CC694D684F}" name="Cost of Living Index" dataDxfId="103"/>
    <tableColumn id="13" xr3:uid="{0A91679F-0EF5-40A0-A1D3-5BAA2099BBBF}" name="Average Monthly Cost (USD)" dataDxfId="102"/>
    <tableColumn id="7" xr3:uid="{6FB08D9A-EE51-4C21-9147-92B636CE287E}" name="Percentage change in Population(2023-24)" dataDxfId="101"/>
    <tableColumn id="10" xr3:uid="{A8A76518-BC50-4992-9185-1F0344F9CEA2}" name="Rank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A6B759-DAC0-4537-8E85-B97964B1B184}" name="Table10" displayName="Table10" ref="B1:F16" totalsRowShown="0" dataDxfId="100">
  <autoFilter ref="B1:F16" xr:uid="{97A6B759-DAC0-4537-8E85-B97964B1B184}"/>
  <tableColumns count="5">
    <tableColumn id="1" xr3:uid="{A8F4D47D-4FA2-430A-B6B2-5889A4AC0BBB}" name="City" dataDxfId="99"/>
    <tableColumn id="2" xr3:uid="{EAC8DF91-E113-439E-B6BE-315B09CF5EB2}" name="State " dataDxfId="98"/>
    <tableColumn id="3" xr3:uid="{770F1A36-BA0D-4AA0-8493-EC5EF8A260E4}" name="Average Water Quality Violations (ppm)" dataDxfId="97"/>
    <tableColumn id="4" xr3:uid="{51CFAC66-026E-4BE0-8BD0-67FBD0C47B12}" name="Snow (in inches)" dataDxfId="96"/>
    <tableColumn id="5" xr3:uid="{E5CAB47B-965D-4953-AC14-C958A656834E}" name="Good Air Quality (%)" dataDxfId="95"/>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1C2BF63-22D2-4823-81EC-A2881EF5BFE3}" name="Table12" displayName="Table12" ref="H1:N16" totalsRowShown="0" headerRowDxfId="94" dataDxfId="93" tableBorderDxfId="92">
  <autoFilter ref="H1:N16" xr:uid="{81C2BF63-22D2-4823-81EC-A2881EF5BFE3}"/>
  <tableColumns count="7">
    <tableColumn id="1" xr3:uid="{C1A045DC-EFE5-454C-AF14-433A9839F3AB}" name="City" dataDxfId="91"/>
    <tableColumn id="2" xr3:uid="{AB780748-B3AB-4BB6-8FA6-6F423838C55E}" name="State " dataDxfId="90"/>
    <tableColumn id="3" xr3:uid="{06807910-C38C-429F-9E9C-351E09ACA0DD}" name="Avg weekly earnings in 2023" dataDxfId="89"/>
    <tableColumn id="4" xr3:uid="{9641E3F2-E91F-4137-A8FB-EAE593605154}" name="Avg weekly earnings in 2024" dataDxfId="88"/>
    <tableColumn id="5" xr3:uid="{85B58250-4F6D-46AD-BD1F-6971C3FC3568}" name="Average Monthly Cost (USD)" dataDxfId="87"/>
    <tableColumn id="6" xr3:uid="{600A3A41-6077-4BE9-A0E2-9A31DA3C7047}" name="Cost of Living Index" dataDxfId="86"/>
    <tableColumn id="7" xr3:uid="{E789E2B8-4891-4FD7-9DAA-1F8B20E3753E}" name="Avg. Local Sales Tax (%)" dataDxfId="85"/>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D40081E-8D6F-4966-8C34-B2ED9AE02370}" name="Table13" displayName="Table13" ref="A1:G13" totalsRowShown="0">
  <autoFilter ref="A1:G13" xr:uid="{FD40081E-8D6F-4966-8C34-B2ED9AE02370}"/>
  <sortState xmlns:xlrd2="http://schemas.microsoft.com/office/spreadsheetml/2017/richdata2" ref="A2:G13">
    <sortCondition ref="A1:A13"/>
  </sortState>
  <tableColumns count="7">
    <tableColumn id="1" xr3:uid="{6FA5603B-DE69-43C5-A559-D506A22ED8BC}" name="State"/>
    <tableColumn id="2" xr3:uid="{2CD481FB-FCB1-424D-9833-27F2F9A360A6}" name="2020"/>
    <tableColumn id="3" xr3:uid="{857AB0EB-F27C-4230-9440-94AC7703A389}" name="2021"/>
    <tableColumn id="4" xr3:uid="{DBA756C9-4B2E-480A-B572-C5274E5687E8}" name="2022"/>
    <tableColumn id="5" xr3:uid="{FA8CEA86-C85A-4565-9C80-8734CA55CB20}" name="2023"/>
    <tableColumn id="6" xr3:uid="{C80E08C5-399E-4DB9-80FF-C038ED536E34}" name="Percentage Change in Population (2020-2023)" dataDxfId="84"/>
    <tableColumn id="7" xr3:uid="{32DB3CB3-160F-47B7-8C01-BC977CC989CE}" name="Average" dataDxfId="83">
      <calculatedColumnFormula>AVERAGE(Table13[[#This Row],[2020]:[2023]])</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A073A61-CD1F-4A5F-8BEF-AF5933ECDFC8}" name="Table16" displayName="Table16" ref="A35:B47" totalsRowShown="0" tableBorderDxfId="82">
  <autoFilter ref="A35:B47" xr:uid="{8A073A61-CD1F-4A5F-8BEF-AF5933ECDFC8}"/>
  <sortState xmlns:xlrd2="http://schemas.microsoft.com/office/spreadsheetml/2017/richdata2" ref="A36:B47">
    <sortCondition ref="A35:A47"/>
  </sortState>
  <tableColumns count="2">
    <tableColumn id="1" xr3:uid="{7108306D-AAF9-4AF3-8641-A6DEA3C28A05}" name="State" dataDxfId="81"/>
    <tableColumn id="2" xr3:uid="{B20C6F43-E5AE-4405-A80F-B1828C1E8323}" name="Average" dataDxfId="80" dataCellStyle="Comma">
      <calculatedColumnFormula>AVERAGE(B2:E2)</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9C867B-43B1-4507-88A4-682A03AB5119}" name="Table17" displayName="Table17" ref="F8:H16" totalsRowShown="0" headerRowDxfId="4" headerRowCellStyle="60% - Accent5">
  <tableColumns count="3">
    <tableColumn id="1" xr3:uid="{D41A90AB-A527-4175-81E4-9F7103C7EAD8}" name="Type of Data" dataDxfId="3"/>
    <tableColumn id="3" xr3:uid="{4BA18A94-D77E-4795-88BD-18724F4DA676}" name="Data Source Name" dataDxfId="2"/>
    <tableColumn id="2" xr3:uid="{E98E89C6-FAAB-4108-BDE6-A438132EDCE2}" name="URL"/>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9859EA9-B1A2-44F7-87B4-5CB9D34ACD37}" name="Table14" displayName="Table14" ref="G5:H50" totalsRowShown="0">
  <autoFilter ref="G5:H50" xr:uid="{A9859EA9-B1A2-44F7-87B4-5CB9D34ACD37}"/>
  <tableColumns count="2">
    <tableColumn id="1" xr3:uid="{E4E18466-9D61-4786-90B0-7B308DBD8935}" name="Rank" dataDxfId="1"/>
    <tableColumn id="2" xr3:uid="{8C820785-4111-4A55-88CD-055059F3390F}" name="City, Stat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ensus.gov/programs-surveys/stc/data/tables.html"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hyperlink" Target="https://www.bls.gov/charts/metro-area-employment-and-unemployment/metro-area-unemployment-rates-map.htm" TargetMode="External"/><Relationship Id="rId1" Type="http://schemas.openxmlformats.org/officeDocument/2006/relationships/hyperlink" Target="https://www.bls.gov/charts/metro-area-employment-and-unemployment/metro-area-oty-percent-change-in-average-weekly-earnings.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www.currentresults.com/Weather/US/annual-snowfall-by-city.php"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www.epa.gov/wqc" TargetMode="External"/><Relationship Id="rId2" Type="http://schemas.openxmlformats.org/officeDocument/2006/relationships/hyperlink" Target="https://www.waterqualitydata.us/" TargetMode="External"/><Relationship Id="rId1" Type="http://schemas.openxmlformats.org/officeDocument/2006/relationships/hyperlink" Target="https://enviro.epa.gov/envirofacts/sdwis/search"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rieri.com/cost-of-living/united-states" TargetMode="External"/><Relationship Id="rId2" Type="http://schemas.openxmlformats.org/officeDocument/2006/relationships/hyperlink" Target="https://livingcost.org/cost/united-states?utm_source=chatgpt.com" TargetMode="External"/><Relationship Id="rId1" Type="http://schemas.openxmlformats.org/officeDocument/2006/relationships/hyperlink" Target="https://www.numbeo.com/cost-of-living/region_rankings.jsp?region=019&amp;title=2024" TargetMode="External"/><Relationship Id="rId5" Type="http://schemas.openxmlformats.org/officeDocument/2006/relationships/table" Target="../tables/table8.xml"/><Relationship Id="rId4"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rinterSettings" Target="../printerSettings/printerSettings4.bin"/><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D6E58-4884-434A-9EEB-3324444A9EE4}">
  <sheetPr codeName="Sheet1"/>
  <dimension ref="E2:T50"/>
  <sheetViews>
    <sheetView workbookViewId="0">
      <selection activeCell="M7" sqref="M7"/>
    </sheetView>
  </sheetViews>
  <sheetFormatPr baseColWidth="10" defaultColWidth="8.83203125" defaultRowHeight="15"/>
  <cols>
    <col min="3" max="3" width="15.83203125" bestFit="1" customWidth="1"/>
    <col min="5" max="5" width="15.83203125" bestFit="1" customWidth="1"/>
    <col min="9" max="9" width="62.83203125" bestFit="1" customWidth="1"/>
    <col min="13" max="13" width="31.83203125" bestFit="1" customWidth="1"/>
    <col min="20" max="20" width="54.83203125" bestFit="1" customWidth="1"/>
  </cols>
  <sheetData>
    <row r="2" spans="13:13">
      <c r="M2" s="102" t="s">
        <v>0</v>
      </c>
    </row>
    <row r="3" spans="13:13">
      <c r="M3" t="s">
        <v>251</v>
      </c>
    </row>
    <row r="4" spans="13:13">
      <c r="M4" t="s">
        <v>1</v>
      </c>
    </row>
    <row r="5" spans="13:13">
      <c r="M5" t="s">
        <v>250</v>
      </c>
    </row>
    <row r="21" spans="20:20" ht="24">
      <c r="T21" s="1"/>
    </row>
    <row r="35" spans="5:13" ht="24">
      <c r="E35" s="3" t="s">
        <v>2</v>
      </c>
      <c r="I35" s="4" t="s">
        <v>3</v>
      </c>
      <c r="M35" s="5"/>
    </row>
    <row r="36" spans="5:13" ht="24">
      <c r="E36" s="2" t="s">
        <v>4</v>
      </c>
      <c r="I36" s="1" t="s">
        <v>5</v>
      </c>
      <c r="M36" s="5"/>
    </row>
    <row r="37" spans="5:13" ht="24">
      <c r="E37" s="2" t="s">
        <v>6</v>
      </c>
      <c r="I37" s="1" t="s">
        <v>7</v>
      </c>
      <c r="M37" s="5"/>
    </row>
    <row r="38" spans="5:13" ht="24">
      <c r="E38" s="2" t="s">
        <v>8</v>
      </c>
      <c r="I38" s="1"/>
      <c r="M38" s="5"/>
    </row>
    <row r="39" spans="5:13" ht="24">
      <c r="E39" s="2" t="s">
        <v>9</v>
      </c>
      <c r="I39" s="4" t="s">
        <v>10</v>
      </c>
      <c r="M39" s="5"/>
    </row>
    <row r="40" spans="5:13" ht="24">
      <c r="E40" s="2" t="s">
        <v>11</v>
      </c>
      <c r="I40" s="1" t="s">
        <v>12</v>
      </c>
      <c r="M40" s="5"/>
    </row>
    <row r="41" spans="5:13" ht="24">
      <c r="E41" s="2" t="s">
        <v>13</v>
      </c>
      <c r="I41" s="1"/>
      <c r="M41" s="5"/>
    </row>
    <row r="42" spans="5:13" ht="24">
      <c r="E42" s="2" t="s">
        <v>14</v>
      </c>
      <c r="I42" s="4" t="s">
        <v>15</v>
      </c>
      <c r="M42" s="5"/>
    </row>
    <row r="43" spans="5:13" ht="24">
      <c r="E43" s="2" t="s">
        <v>16</v>
      </c>
      <c r="I43" s="1" t="s">
        <v>17</v>
      </c>
      <c r="M43" s="5"/>
    </row>
    <row r="44" spans="5:13" ht="24">
      <c r="E44" s="2" t="s">
        <v>18</v>
      </c>
      <c r="I44" s="1" t="s">
        <v>19</v>
      </c>
      <c r="M44" s="5"/>
    </row>
    <row r="45" spans="5:13" ht="24">
      <c r="E45" s="2" t="s">
        <v>20</v>
      </c>
      <c r="I45" s="1"/>
      <c r="M45" s="5"/>
    </row>
    <row r="46" spans="5:13" ht="24">
      <c r="E46" s="2" t="s">
        <v>21</v>
      </c>
      <c r="I46" s="4" t="s">
        <v>22</v>
      </c>
      <c r="M46" s="5"/>
    </row>
    <row r="47" spans="5:13" ht="24">
      <c r="E47" s="2" t="s">
        <v>23</v>
      </c>
      <c r="I47" s="1" t="s">
        <v>24</v>
      </c>
      <c r="M47" s="5"/>
    </row>
    <row r="48" spans="5:13" ht="24">
      <c r="E48" s="2" t="s">
        <v>25</v>
      </c>
      <c r="I48" s="1" t="s">
        <v>26</v>
      </c>
      <c r="M48" s="5"/>
    </row>
    <row r="49" spans="5:13" ht="24">
      <c r="E49" s="2" t="s">
        <v>27</v>
      </c>
      <c r="I49" s="1" t="s">
        <v>28</v>
      </c>
      <c r="M49" s="5"/>
    </row>
    <row r="50" spans="5:13" ht="21">
      <c r="E50" s="2" t="s">
        <v>29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B8A0C-9B28-454B-85C8-BFB658CE3499}">
  <sheetPr codeName="Sheet2"/>
  <dimension ref="A1:V31"/>
  <sheetViews>
    <sheetView workbookViewId="0">
      <selection activeCell="B7" sqref="B7"/>
    </sheetView>
  </sheetViews>
  <sheetFormatPr baseColWidth="10" defaultColWidth="8.83203125" defaultRowHeight="15"/>
  <cols>
    <col min="1" max="1" width="11.5" bestFit="1" customWidth="1"/>
    <col min="2" max="2" width="18.1640625" bestFit="1" customWidth="1"/>
    <col min="3" max="3" width="12.83203125" bestFit="1" customWidth="1"/>
    <col min="4" max="5" width="13" bestFit="1" customWidth="1"/>
    <col min="6" max="6" width="12" bestFit="1" customWidth="1"/>
    <col min="7" max="7" width="15.83203125" bestFit="1" customWidth="1"/>
    <col min="8" max="8" width="32.1640625" bestFit="1" customWidth="1"/>
    <col min="9" max="9" width="14.33203125" bestFit="1" customWidth="1"/>
    <col min="10" max="10" width="14.83203125" bestFit="1" customWidth="1"/>
    <col min="11" max="11" width="15.6640625" bestFit="1" customWidth="1"/>
    <col min="12" max="12" width="13.33203125" customWidth="1"/>
    <col min="13" max="13" width="17" customWidth="1"/>
    <col min="14" max="14" width="11.1640625" bestFit="1" customWidth="1"/>
    <col min="15" max="15" width="11.1640625" customWidth="1"/>
    <col min="16" max="16" width="14" bestFit="1" customWidth="1"/>
    <col min="20" max="20" width="17.33203125" bestFit="1" customWidth="1"/>
    <col min="21" max="21" width="11.5" bestFit="1" customWidth="1"/>
  </cols>
  <sheetData>
    <row r="1" spans="1:22" ht="16" thickBot="1">
      <c r="A1" s="6" t="s">
        <v>30</v>
      </c>
      <c r="B1" s="7" t="s">
        <v>4</v>
      </c>
      <c r="C1" s="8" t="s">
        <v>6</v>
      </c>
      <c r="D1" s="8" t="s">
        <v>8</v>
      </c>
      <c r="E1" s="8" t="s">
        <v>9</v>
      </c>
      <c r="F1" s="8" t="s">
        <v>11</v>
      </c>
      <c r="G1" s="8" t="s">
        <v>13</v>
      </c>
      <c r="H1" s="8" t="s">
        <v>14</v>
      </c>
      <c r="I1" s="8" t="s">
        <v>16</v>
      </c>
      <c r="J1" s="8" t="s">
        <v>18</v>
      </c>
      <c r="K1" s="8" t="s">
        <v>20</v>
      </c>
      <c r="L1" s="8" t="s">
        <v>31</v>
      </c>
      <c r="M1" s="8" t="s">
        <v>23</v>
      </c>
      <c r="N1" s="8" t="s">
        <v>25</v>
      </c>
      <c r="O1" s="44" t="s">
        <v>27</v>
      </c>
      <c r="P1" s="7" t="s">
        <v>29</v>
      </c>
    </row>
    <row r="2" spans="1:22" ht="16" thickTop="1">
      <c r="A2" s="9">
        <v>2019</v>
      </c>
      <c r="B2" s="10">
        <v>63314370</v>
      </c>
      <c r="C2" s="11">
        <v>31806339</v>
      </c>
      <c r="D2" s="11">
        <v>45453840</v>
      </c>
      <c r="E2" s="11">
        <v>63314370</v>
      </c>
      <c r="F2" s="11">
        <v>15869834</v>
      </c>
      <c r="G2" s="11">
        <v>30270130</v>
      </c>
      <c r="H2" s="11">
        <v>9744547</v>
      </c>
      <c r="I2" s="11">
        <v>187638267</v>
      </c>
      <c r="J2" s="11">
        <v>45017095</v>
      </c>
      <c r="K2" s="11">
        <v>85368973</v>
      </c>
      <c r="L2" s="11">
        <v>43132450</v>
      </c>
      <c r="M2" s="11">
        <v>187638267</v>
      </c>
      <c r="N2" s="11">
        <v>8679390</v>
      </c>
      <c r="O2" s="11">
        <v>45017095</v>
      </c>
      <c r="P2" s="10">
        <v>27992437</v>
      </c>
    </row>
    <row r="3" spans="1:22">
      <c r="A3" s="9">
        <v>2020</v>
      </c>
      <c r="B3" s="10">
        <v>61496546</v>
      </c>
      <c r="C3" s="11">
        <v>31631567</v>
      </c>
      <c r="D3" s="11">
        <v>45284625</v>
      </c>
      <c r="E3" s="11">
        <v>61496546</v>
      </c>
      <c r="F3" s="11">
        <v>15074484</v>
      </c>
      <c r="G3" s="11">
        <v>27960375</v>
      </c>
      <c r="H3" s="11">
        <v>9452840</v>
      </c>
      <c r="I3" s="11">
        <v>172977355</v>
      </c>
      <c r="J3" s="11">
        <v>43314743</v>
      </c>
      <c r="K3" s="11">
        <v>92720854</v>
      </c>
      <c r="L3" s="11">
        <v>40693000</v>
      </c>
      <c r="M3" s="11">
        <v>172977355</v>
      </c>
      <c r="N3" s="11">
        <v>8422068</v>
      </c>
      <c r="O3" s="11">
        <v>43314743</v>
      </c>
      <c r="P3" s="11">
        <v>29173046</v>
      </c>
      <c r="U3" t="s">
        <v>32</v>
      </c>
      <c r="V3" s="15" t="s">
        <v>33</v>
      </c>
    </row>
    <row r="4" spans="1:22">
      <c r="A4" s="9">
        <v>2021</v>
      </c>
      <c r="B4" s="10">
        <v>65466119</v>
      </c>
      <c r="C4" s="11">
        <v>36336125</v>
      </c>
      <c r="D4" s="11">
        <v>55531962</v>
      </c>
      <c r="E4" s="11">
        <v>65466119</v>
      </c>
      <c r="F4" s="11">
        <v>19250711</v>
      </c>
      <c r="G4" s="11">
        <v>34431625</v>
      </c>
      <c r="H4" s="11">
        <v>9056648</v>
      </c>
      <c r="I4" s="11">
        <v>254818453</v>
      </c>
      <c r="J4" s="11">
        <v>49320041</v>
      </c>
      <c r="K4" s="11">
        <v>91821961</v>
      </c>
      <c r="L4" s="11">
        <v>49634346</v>
      </c>
      <c r="M4" s="11">
        <v>254818453</v>
      </c>
      <c r="N4" s="11">
        <v>8996257</v>
      </c>
      <c r="O4" s="11">
        <v>49320041</v>
      </c>
      <c r="P4" s="11">
        <v>32717084</v>
      </c>
    </row>
    <row r="5" spans="1:22">
      <c r="A5" s="9">
        <v>2022</v>
      </c>
      <c r="B5" s="10">
        <v>81763085</v>
      </c>
      <c r="C5" s="11">
        <v>43492334</v>
      </c>
      <c r="D5" s="11">
        <v>62571178</v>
      </c>
      <c r="E5" s="11">
        <v>81763085</v>
      </c>
      <c r="F5" s="11">
        <v>22089402</v>
      </c>
      <c r="G5" s="11">
        <v>37056989</v>
      </c>
      <c r="H5" s="11">
        <v>13818086</v>
      </c>
      <c r="I5" s="11">
        <v>283275754</v>
      </c>
      <c r="J5" s="11">
        <v>59251311</v>
      </c>
      <c r="K5" s="11">
        <v>132076079</v>
      </c>
      <c r="L5" s="11">
        <v>53700114</v>
      </c>
      <c r="M5" s="11">
        <v>283275754</v>
      </c>
      <c r="N5" s="11">
        <v>10207344</v>
      </c>
      <c r="O5" s="11">
        <v>59251311</v>
      </c>
      <c r="P5" s="11">
        <v>36071826</v>
      </c>
    </row>
    <row r="6" spans="1:22">
      <c r="A6" s="12">
        <v>2023</v>
      </c>
      <c r="B6" s="10">
        <v>86776159</v>
      </c>
      <c r="C6" s="11">
        <v>41603097</v>
      </c>
      <c r="D6" s="11">
        <v>62987205</v>
      </c>
      <c r="E6" s="11">
        <v>86776159</v>
      </c>
      <c r="F6" s="11">
        <v>18131705</v>
      </c>
      <c r="G6" s="11">
        <v>37125288</v>
      </c>
      <c r="H6" s="11">
        <v>14177495</v>
      </c>
      <c r="I6" s="11">
        <v>220591306</v>
      </c>
      <c r="J6" s="11">
        <v>61902651</v>
      </c>
      <c r="K6" s="11">
        <v>125188211</v>
      </c>
      <c r="L6" s="11">
        <v>55074459</v>
      </c>
      <c r="M6" s="11">
        <v>220591306</v>
      </c>
      <c r="N6" s="11">
        <v>10337539</v>
      </c>
      <c r="O6" s="11">
        <v>61902651</v>
      </c>
      <c r="P6" s="11">
        <v>38025420</v>
      </c>
    </row>
    <row r="7" spans="1:22">
      <c r="A7" s="12" t="s">
        <v>34</v>
      </c>
      <c r="B7" s="10">
        <f>AVERAGE(B2:B6)</f>
        <v>71763255.799999997</v>
      </c>
      <c r="C7" s="10">
        <f t="shared" ref="C7:P7" si="0">AVERAGE(C2:C6)</f>
        <v>36973892.399999999</v>
      </c>
      <c r="D7" s="10">
        <f t="shared" si="0"/>
        <v>54365762</v>
      </c>
      <c r="E7" s="10">
        <f t="shared" si="0"/>
        <v>71763255.799999997</v>
      </c>
      <c r="F7" s="10">
        <f t="shared" si="0"/>
        <v>18083227.199999999</v>
      </c>
      <c r="G7" s="10">
        <f t="shared" si="0"/>
        <v>33368881.399999999</v>
      </c>
      <c r="H7" s="10">
        <f t="shared" si="0"/>
        <v>11249923.199999999</v>
      </c>
      <c r="I7" s="10">
        <f t="shared" si="0"/>
        <v>223860227</v>
      </c>
      <c r="J7" s="10">
        <f t="shared" si="0"/>
        <v>51761168.200000003</v>
      </c>
      <c r="K7" s="10">
        <f t="shared" si="0"/>
        <v>105435215.59999999</v>
      </c>
      <c r="L7" s="10">
        <f t="shared" si="0"/>
        <v>48446873.799999997</v>
      </c>
      <c r="M7" s="10">
        <f t="shared" si="0"/>
        <v>223860227</v>
      </c>
      <c r="N7" s="10">
        <f t="shared" si="0"/>
        <v>9328519.5999999996</v>
      </c>
      <c r="O7" s="10">
        <f t="shared" si="0"/>
        <v>51761168.200000003</v>
      </c>
      <c r="P7" s="10">
        <f t="shared" si="0"/>
        <v>32795962.600000001</v>
      </c>
    </row>
    <row r="16" spans="1:22">
      <c r="S16" t="s">
        <v>35</v>
      </c>
      <c r="T16" t="s">
        <v>36</v>
      </c>
    </row>
    <row r="17" spans="1:20" ht="16" thickBot="1">
      <c r="A17" s="18" t="s">
        <v>30</v>
      </c>
      <c r="B17" s="19" t="s">
        <v>37</v>
      </c>
      <c r="C17" s="18" t="s">
        <v>38</v>
      </c>
      <c r="D17" s="18" t="s">
        <v>39</v>
      </c>
      <c r="E17" s="18" t="s">
        <v>40</v>
      </c>
      <c r="F17" s="18" t="s">
        <v>41</v>
      </c>
      <c r="G17" s="18" t="s">
        <v>42</v>
      </c>
      <c r="H17" s="18" t="s">
        <v>43</v>
      </c>
      <c r="I17" s="18" t="s">
        <v>44</v>
      </c>
      <c r="J17" s="18" t="s">
        <v>45</v>
      </c>
      <c r="K17" s="18" t="s">
        <v>46</v>
      </c>
      <c r="L17" s="18" t="s">
        <v>47</v>
      </c>
      <c r="M17" s="20" t="s">
        <v>48</v>
      </c>
      <c r="S17" t="s">
        <v>49</v>
      </c>
      <c r="T17" t="s">
        <v>50</v>
      </c>
    </row>
    <row r="18" spans="1:20" ht="16" thickTop="1">
      <c r="A18" s="21">
        <v>2019</v>
      </c>
      <c r="B18" s="10">
        <v>63314370</v>
      </c>
      <c r="C18" s="11">
        <v>31806339</v>
      </c>
      <c r="D18" s="11">
        <v>45453840</v>
      </c>
      <c r="E18" s="11">
        <v>15869834</v>
      </c>
      <c r="F18" s="11">
        <v>30270130</v>
      </c>
      <c r="G18" s="11">
        <v>9744547</v>
      </c>
      <c r="H18" s="11">
        <v>187638267</v>
      </c>
      <c r="I18" s="11">
        <v>45017095</v>
      </c>
      <c r="J18" s="11">
        <v>85368973</v>
      </c>
      <c r="K18" s="11">
        <v>43132450</v>
      </c>
      <c r="L18" s="11">
        <v>8679390</v>
      </c>
      <c r="M18" s="22">
        <v>27992437</v>
      </c>
      <c r="S18" t="s">
        <v>51</v>
      </c>
      <c r="T18" t="s">
        <v>52</v>
      </c>
    </row>
    <row r="19" spans="1:20">
      <c r="A19" s="23">
        <v>2020</v>
      </c>
      <c r="B19" s="10">
        <v>61496546</v>
      </c>
      <c r="C19" s="11">
        <v>31631567</v>
      </c>
      <c r="D19" s="11">
        <v>45284625</v>
      </c>
      <c r="E19" s="11">
        <v>15074484</v>
      </c>
      <c r="F19" s="11">
        <v>27960375</v>
      </c>
      <c r="G19" s="11">
        <v>9452840</v>
      </c>
      <c r="H19" s="11">
        <v>172977355</v>
      </c>
      <c r="I19" s="11">
        <v>43314743</v>
      </c>
      <c r="J19" s="11">
        <v>92720854</v>
      </c>
      <c r="K19" s="11">
        <v>40693000</v>
      </c>
      <c r="L19" s="11">
        <v>8422068</v>
      </c>
      <c r="M19" s="24">
        <v>29173046</v>
      </c>
      <c r="S19" t="s">
        <v>53</v>
      </c>
      <c r="T19" t="s">
        <v>54</v>
      </c>
    </row>
    <row r="20" spans="1:20">
      <c r="A20" s="23">
        <v>2021</v>
      </c>
      <c r="B20" s="10">
        <v>65466119</v>
      </c>
      <c r="C20" s="11">
        <v>36336125</v>
      </c>
      <c r="D20" s="11">
        <v>55531962</v>
      </c>
      <c r="E20" s="11">
        <v>19250711</v>
      </c>
      <c r="F20" s="11">
        <v>34431625</v>
      </c>
      <c r="G20" s="11">
        <v>9056648</v>
      </c>
      <c r="H20" s="11">
        <v>254818453</v>
      </c>
      <c r="I20" s="11">
        <v>49320041</v>
      </c>
      <c r="J20" s="11">
        <v>91821961</v>
      </c>
      <c r="K20" s="11">
        <v>49634346</v>
      </c>
      <c r="L20" s="11">
        <v>8996257</v>
      </c>
      <c r="M20" s="24">
        <v>32717084</v>
      </c>
      <c r="S20" t="s">
        <v>55</v>
      </c>
      <c r="T20" t="s">
        <v>56</v>
      </c>
    </row>
    <row r="21" spans="1:20">
      <c r="A21" s="23">
        <v>2022</v>
      </c>
      <c r="B21" s="10">
        <v>81763085</v>
      </c>
      <c r="C21" s="11">
        <v>43492334</v>
      </c>
      <c r="D21" s="11">
        <v>62571178</v>
      </c>
      <c r="E21" s="11">
        <v>22089402</v>
      </c>
      <c r="F21" s="11">
        <v>37056989</v>
      </c>
      <c r="G21" s="11">
        <v>13818086</v>
      </c>
      <c r="H21" s="11">
        <v>283275754</v>
      </c>
      <c r="I21" s="11">
        <v>59251311</v>
      </c>
      <c r="J21" s="11">
        <v>132076079</v>
      </c>
      <c r="K21" s="11">
        <v>53700114</v>
      </c>
      <c r="L21" s="11">
        <v>10207344</v>
      </c>
      <c r="M21" s="24">
        <v>36071826</v>
      </c>
      <c r="S21" t="s">
        <v>57</v>
      </c>
      <c r="T21" t="s">
        <v>58</v>
      </c>
    </row>
    <row r="22" spans="1:20">
      <c r="A22" s="25">
        <v>2023</v>
      </c>
      <c r="B22" s="26">
        <v>86776159</v>
      </c>
      <c r="C22" s="27">
        <v>41603097</v>
      </c>
      <c r="D22" s="27">
        <v>62987205</v>
      </c>
      <c r="E22" s="27">
        <v>18131705</v>
      </c>
      <c r="F22" s="27">
        <v>37125288</v>
      </c>
      <c r="G22" s="27">
        <v>14177495</v>
      </c>
      <c r="H22" s="27">
        <v>220591306</v>
      </c>
      <c r="I22" s="27">
        <v>61902651</v>
      </c>
      <c r="J22" s="27">
        <v>125188211</v>
      </c>
      <c r="K22" s="27">
        <v>55074459</v>
      </c>
      <c r="L22" s="27">
        <v>10337539</v>
      </c>
      <c r="M22" s="28">
        <v>38025420</v>
      </c>
      <c r="S22" t="s">
        <v>59</v>
      </c>
      <c r="T22" t="s">
        <v>60</v>
      </c>
    </row>
    <row r="23" spans="1:20">
      <c r="A23" t="s">
        <v>34</v>
      </c>
      <c r="B23" s="29">
        <f>AVERAGE(B18:B22)</f>
        <v>71763255.799999997</v>
      </c>
      <c r="C23" s="29">
        <f t="shared" ref="C23:M23" si="1">AVERAGE(C18:C22)</f>
        <v>36973892.399999999</v>
      </c>
      <c r="D23" s="29">
        <f t="shared" si="1"/>
        <v>54365762</v>
      </c>
      <c r="E23" s="29">
        <f t="shared" si="1"/>
        <v>18083227.199999999</v>
      </c>
      <c r="F23" s="29">
        <f t="shared" si="1"/>
        <v>33368881.399999999</v>
      </c>
      <c r="G23" s="29">
        <f t="shared" si="1"/>
        <v>11249923.199999999</v>
      </c>
      <c r="H23" s="29">
        <f t="shared" si="1"/>
        <v>223860227</v>
      </c>
      <c r="I23" s="29">
        <f t="shared" si="1"/>
        <v>51761168.200000003</v>
      </c>
      <c r="J23" s="29">
        <f t="shared" si="1"/>
        <v>105435215.59999999</v>
      </c>
      <c r="K23" s="29">
        <f t="shared" si="1"/>
        <v>48446873.799999997</v>
      </c>
      <c r="L23" s="29">
        <f t="shared" si="1"/>
        <v>9328519.5999999996</v>
      </c>
      <c r="M23" s="29">
        <f t="shared" si="1"/>
        <v>32795962.600000001</v>
      </c>
      <c r="S23" t="s">
        <v>61</v>
      </c>
      <c r="T23" t="s">
        <v>62</v>
      </c>
    </row>
    <row r="24" spans="1:20">
      <c r="S24" t="s">
        <v>63</v>
      </c>
      <c r="T24" t="s">
        <v>64</v>
      </c>
    </row>
    <row r="25" spans="1:20">
      <c r="S25" t="s">
        <v>65</v>
      </c>
      <c r="T25" t="s">
        <v>66</v>
      </c>
    </row>
    <row r="26" spans="1:20">
      <c r="S26" t="s">
        <v>67</v>
      </c>
      <c r="T26" t="s">
        <v>68</v>
      </c>
    </row>
    <row r="27" spans="1:20">
      <c r="A27" s="8" t="s">
        <v>30</v>
      </c>
      <c r="B27" s="7" t="s">
        <v>37</v>
      </c>
      <c r="C27" s="8" t="s">
        <v>38</v>
      </c>
      <c r="D27" s="8" t="s">
        <v>39</v>
      </c>
      <c r="E27" s="8" t="s">
        <v>40</v>
      </c>
      <c r="F27" s="8" t="s">
        <v>41</v>
      </c>
      <c r="G27" s="8" t="s">
        <v>42</v>
      </c>
      <c r="H27" s="8" t="s">
        <v>43</v>
      </c>
      <c r="I27" s="8" t="s">
        <v>44</v>
      </c>
      <c r="J27" s="8" t="s">
        <v>45</v>
      </c>
      <c r="K27" s="8" t="s">
        <v>46</v>
      </c>
      <c r="L27" s="8" t="s">
        <v>47</v>
      </c>
      <c r="M27" s="41" t="s">
        <v>48</v>
      </c>
      <c r="S27" t="s">
        <v>69</v>
      </c>
      <c r="T27" t="s">
        <v>70</v>
      </c>
    </row>
    <row r="28" spans="1:20">
      <c r="A28" t="s">
        <v>34</v>
      </c>
      <c r="B28" s="29">
        <f>AVERAGE(B23:B27)</f>
        <v>71763255.799999997</v>
      </c>
      <c r="C28" s="29">
        <f t="shared" ref="C28" si="2">AVERAGE(C23:C27)</f>
        <v>36973892.399999999</v>
      </c>
      <c r="D28" s="29">
        <f t="shared" ref="D28" si="3">AVERAGE(D23:D27)</f>
        <v>54365762</v>
      </c>
      <c r="E28" s="29">
        <f t="shared" ref="E28" si="4">AVERAGE(E23:E27)</f>
        <v>18083227.199999999</v>
      </c>
      <c r="F28" s="29">
        <f t="shared" ref="F28" si="5">AVERAGE(F23:F27)</f>
        <v>33368881.399999999</v>
      </c>
      <c r="G28" s="29">
        <f t="shared" ref="G28" si="6">AVERAGE(G23:G27)</f>
        <v>11249923.199999999</v>
      </c>
      <c r="H28" s="29">
        <f t="shared" ref="H28" si="7">AVERAGE(H23:H27)</f>
        <v>223860227</v>
      </c>
      <c r="I28" s="29">
        <f t="shared" ref="I28" si="8">AVERAGE(I23:I27)</f>
        <v>51761168.200000003</v>
      </c>
      <c r="J28" s="29">
        <f t="shared" ref="J28" si="9">AVERAGE(J23:J27)</f>
        <v>105435215.59999999</v>
      </c>
      <c r="K28" s="29">
        <f t="shared" ref="K28" si="10">AVERAGE(K23:K27)</f>
        <v>48446873.799999997</v>
      </c>
      <c r="L28" s="29">
        <f t="shared" ref="L28" si="11">AVERAGE(L23:L27)</f>
        <v>9328519.5999999996</v>
      </c>
      <c r="M28" s="29">
        <f t="shared" ref="M28" si="12">AVERAGE(M23:M27)</f>
        <v>32795962.600000001</v>
      </c>
      <c r="S28" t="s">
        <v>71</v>
      </c>
      <c r="T28" t="s">
        <v>72</v>
      </c>
    </row>
    <row r="29" spans="1:20">
      <c r="S29" t="s">
        <v>73</v>
      </c>
      <c r="T29" t="s">
        <v>74</v>
      </c>
    </row>
    <row r="30" spans="1:20">
      <c r="S30" t="s">
        <v>75</v>
      </c>
      <c r="T30" t="s">
        <v>76</v>
      </c>
    </row>
    <row r="31" spans="1:20">
      <c r="S31" t="s">
        <v>77</v>
      </c>
      <c r="T31" t="s">
        <v>78</v>
      </c>
    </row>
  </sheetData>
  <hyperlinks>
    <hyperlink ref="V3" r:id="rId1" xr:uid="{4B82A20C-4C88-485D-921B-BD239B2E0ED2}"/>
  </hyperlinks>
  <pageMargins left="0.7" right="0.7" top="0.75" bottom="0.75" header="0.3" footer="0.3"/>
  <pageSetup orientation="portrait" r:id="rId2"/>
  <drawing r:id="rId3"/>
  <tableParts count="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D22AD-14A5-431C-A3EE-DB082D45B9F7}">
  <sheetPr codeName="Sheet4"/>
  <dimension ref="A1:E18"/>
  <sheetViews>
    <sheetView workbookViewId="0">
      <selection activeCell="A4" sqref="A4"/>
    </sheetView>
  </sheetViews>
  <sheetFormatPr baseColWidth="10" defaultColWidth="8.83203125" defaultRowHeight="15"/>
  <cols>
    <col min="1" max="1" width="22.1640625" bestFit="1" customWidth="1"/>
    <col min="2" max="2" width="12.83203125" bestFit="1" customWidth="1"/>
    <col min="3" max="3" width="24" bestFit="1" customWidth="1"/>
    <col min="4" max="4" width="27.5" bestFit="1" customWidth="1"/>
    <col min="5" max="5" width="26.6640625" bestFit="1" customWidth="1"/>
  </cols>
  <sheetData>
    <row r="1" spans="1:5" ht="20">
      <c r="A1" s="36" t="s">
        <v>79</v>
      </c>
    </row>
    <row r="3" spans="1:5">
      <c r="A3" t="s">
        <v>80</v>
      </c>
      <c r="B3" t="s">
        <v>81</v>
      </c>
      <c r="C3" t="s">
        <v>82</v>
      </c>
      <c r="D3" t="s">
        <v>83</v>
      </c>
      <c r="E3" t="s">
        <v>84</v>
      </c>
    </row>
    <row r="4" spans="1:5">
      <c r="A4" s="5" t="s">
        <v>85</v>
      </c>
      <c r="B4" t="s">
        <v>4</v>
      </c>
      <c r="C4">
        <v>48.03</v>
      </c>
      <c r="D4">
        <v>14.3</v>
      </c>
      <c r="E4">
        <v>0.5</v>
      </c>
    </row>
    <row r="5" spans="1:5">
      <c r="A5" s="5" t="s">
        <v>86</v>
      </c>
      <c r="B5" t="s">
        <v>6</v>
      </c>
      <c r="C5">
        <v>87.1</v>
      </c>
      <c r="D5">
        <v>12.5</v>
      </c>
      <c r="E5">
        <v>0.9</v>
      </c>
    </row>
    <row r="6" spans="1:5">
      <c r="A6" s="5" t="s">
        <v>87</v>
      </c>
      <c r="B6" t="s">
        <v>8</v>
      </c>
      <c r="C6">
        <v>50.35</v>
      </c>
      <c r="D6">
        <v>16.8</v>
      </c>
      <c r="E6">
        <v>0.6</v>
      </c>
    </row>
    <row r="7" spans="1:5">
      <c r="A7" s="5" t="s">
        <v>85</v>
      </c>
      <c r="B7" t="s">
        <v>9</v>
      </c>
      <c r="C7">
        <v>58.24</v>
      </c>
      <c r="D7">
        <v>20.76</v>
      </c>
      <c r="E7">
        <v>0.8</v>
      </c>
    </row>
    <row r="8" spans="1:5">
      <c r="A8" s="5" t="s">
        <v>88</v>
      </c>
      <c r="B8" t="s">
        <v>11</v>
      </c>
      <c r="C8">
        <v>49.11</v>
      </c>
      <c r="D8">
        <v>15.9</v>
      </c>
      <c r="E8">
        <v>2.9</v>
      </c>
    </row>
    <row r="9" spans="1:5">
      <c r="A9" s="37" t="s">
        <v>89</v>
      </c>
      <c r="B9" t="s">
        <v>13</v>
      </c>
      <c r="C9">
        <v>33.89</v>
      </c>
      <c r="D9">
        <v>18.399999999999999</v>
      </c>
      <c r="E9">
        <v>1.8</v>
      </c>
    </row>
    <row r="10" spans="1:5">
      <c r="A10" s="5" t="s">
        <v>90</v>
      </c>
      <c r="B10" t="s">
        <v>14</v>
      </c>
      <c r="C10">
        <v>58.18</v>
      </c>
      <c r="D10">
        <v>14.3</v>
      </c>
      <c r="E10">
        <v>0.5</v>
      </c>
    </row>
    <row r="11" spans="1:5">
      <c r="A11" s="37" t="s">
        <v>91</v>
      </c>
      <c r="B11" t="s">
        <v>16</v>
      </c>
      <c r="C11">
        <v>48.84</v>
      </c>
      <c r="D11">
        <v>58.43</v>
      </c>
      <c r="E11">
        <v>0.6</v>
      </c>
    </row>
    <row r="12" spans="1:5">
      <c r="A12" s="37" t="s">
        <v>92</v>
      </c>
      <c r="B12" t="s">
        <v>18</v>
      </c>
      <c r="C12">
        <v>76.67</v>
      </c>
      <c r="D12">
        <v>13.7</v>
      </c>
      <c r="E12">
        <v>0.4</v>
      </c>
    </row>
    <row r="13" spans="1:5">
      <c r="A13" s="37" t="s">
        <v>93</v>
      </c>
      <c r="B13" t="s">
        <v>20</v>
      </c>
      <c r="C13">
        <v>38.17</v>
      </c>
      <c r="D13">
        <v>10.6</v>
      </c>
      <c r="E13">
        <v>0.9</v>
      </c>
    </row>
    <row r="14" spans="1:5">
      <c r="A14" s="37" t="s">
        <v>94</v>
      </c>
      <c r="B14" t="s">
        <v>31</v>
      </c>
      <c r="C14">
        <v>79.2</v>
      </c>
      <c r="D14">
        <v>11.45</v>
      </c>
      <c r="E14">
        <v>0.87</v>
      </c>
    </row>
    <row r="15" spans="1:5">
      <c r="A15" s="5" t="s">
        <v>91</v>
      </c>
      <c r="B15" t="s">
        <v>23</v>
      </c>
      <c r="C15">
        <v>67</v>
      </c>
      <c r="D15">
        <v>10.56</v>
      </c>
      <c r="E15">
        <v>0.7</v>
      </c>
    </row>
    <row r="16" spans="1:5">
      <c r="A16" s="5" t="s">
        <v>29</v>
      </c>
      <c r="B16" t="s">
        <v>25</v>
      </c>
      <c r="C16">
        <v>31.56</v>
      </c>
      <c r="D16">
        <v>5.6</v>
      </c>
      <c r="E16">
        <v>2.2999999999999998</v>
      </c>
    </row>
    <row r="17" spans="1:5">
      <c r="A17" s="5" t="s">
        <v>92</v>
      </c>
      <c r="B17" t="s">
        <v>27</v>
      </c>
      <c r="C17">
        <v>49.89</v>
      </c>
      <c r="D17">
        <v>8.6999999999999993</v>
      </c>
      <c r="E17">
        <v>0.4</v>
      </c>
    </row>
    <row r="18" spans="1:5">
      <c r="A18" s="37" t="s">
        <v>95</v>
      </c>
      <c r="B18" t="s">
        <v>29</v>
      </c>
      <c r="C18">
        <v>52.78</v>
      </c>
      <c r="D18">
        <v>12.43</v>
      </c>
      <c r="E18">
        <v>0.9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73FD-FCCE-44AB-9727-25ECCAD84730}">
  <sheetPr codeName="Sheet5"/>
  <dimension ref="A1:I16"/>
  <sheetViews>
    <sheetView workbookViewId="0">
      <selection activeCell="B1" sqref="B1"/>
    </sheetView>
  </sheetViews>
  <sheetFormatPr baseColWidth="10" defaultColWidth="8.83203125" defaultRowHeight="15"/>
  <cols>
    <col min="1" max="1" width="12.83203125" customWidth="1"/>
    <col min="2" max="3" width="33.6640625" bestFit="1" customWidth="1"/>
    <col min="4" max="4" width="36" bestFit="1" customWidth="1"/>
    <col min="5" max="5" width="29.83203125" bestFit="1" customWidth="1"/>
  </cols>
  <sheetData>
    <row r="1" spans="1:9">
      <c r="A1" s="17" t="s">
        <v>2</v>
      </c>
      <c r="B1" s="17" t="s">
        <v>96</v>
      </c>
      <c r="C1" s="17" t="s">
        <v>97</v>
      </c>
      <c r="D1" s="17" t="s">
        <v>98</v>
      </c>
      <c r="E1" s="17" t="s">
        <v>99</v>
      </c>
      <c r="I1" t="s">
        <v>100</v>
      </c>
    </row>
    <row r="2" spans="1:9" ht="21">
      <c r="A2" s="2" t="s">
        <v>4</v>
      </c>
      <c r="B2" s="2">
        <v>3.5</v>
      </c>
      <c r="C2" s="16">
        <v>1213.0899999999999</v>
      </c>
      <c r="D2" s="16">
        <v>1241.42</v>
      </c>
      <c r="E2" s="2">
        <v>2.2999999999999998</v>
      </c>
      <c r="I2" s="15" t="s">
        <v>101</v>
      </c>
    </row>
    <row r="3" spans="1:9" ht="21">
      <c r="A3" s="2" t="s">
        <v>6</v>
      </c>
      <c r="B3" s="2">
        <v>3.6</v>
      </c>
      <c r="C3" s="16">
        <v>1478.81</v>
      </c>
      <c r="D3" s="16">
        <v>1498.72</v>
      </c>
      <c r="E3" s="2">
        <v>1.3</v>
      </c>
      <c r="I3" s="15" t="s">
        <v>102</v>
      </c>
    </row>
    <row r="4" spans="1:9" ht="21">
      <c r="A4" s="2" t="s">
        <v>8</v>
      </c>
      <c r="B4" s="2">
        <v>5.3</v>
      </c>
      <c r="C4" s="16">
        <v>1166.8900000000001</v>
      </c>
      <c r="D4" s="16">
        <v>1174.1099999999999</v>
      </c>
      <c r="E4" s="2">
        <v>0.6</v>
      </c>
    </row>
    <row r="5" spans="1:9" ht="21">
      <c r="A5" s="2" t="s">
        <v>9</v>
      </c>
      <c r="B5" s="2">
        <v>3.9</v>
      </c>
      <c r="C5" s="16">
        <v>1243.1099999999999</v>
      </c>
      <c r="D5" s="16">
        <v>1264.1600000000001</v>
      </c>
      <c r="E5" s="2">
        <v>1.7</v>
      </c>
    </row>
    <row r="6" spans="1:9" ht="21">
      <c r="A6" s="2" t="s">
        <v>11</v>
      </c>
      <c r="B6" s="2">
        <v>4.5</v>
      </c>
      <c r="C6" s="16">
        <v>1344.9</v>
      </c>
      <c r="D6" s="16">
        <v>1375.3</v>
      </c>
      <c r="E6" s="2">
        <v>2.2999999999999998</v>
      </c>
    </row>
    <row r="7" spans="1:9" ht="21">
      <c r="A7" s="2" t="s">
        <v>13</v>
      </c>
      <c r="B7" s="2">
        <v>5</v>
      </c>
      <c r="C7" s="16">
        <v>1229.8900000000001</v>
      </c>
      <c r="D7" s="16">
        <v>1222.92</v>
      </c>
      <c r="E7" s="2">
        <v>-0.6</v>
      </c>
    </row>
    <row r="8" spans="1:9" ht="21">
      <c r="A8" s="2" t="s">
        <v>14</v>
      </c>
      <c r="B8" s="2">
        <v>5.8</v>
      </c>
      <c r="C8" s="16">
        <v>994.65</v>
      </c>
      <c r="D8" s="16">
        <v>1045.81</v>
      </c>
      <c r="E8" s="2">
        <v>5.0999999999999996</v>
      </c>
    </row>
    <row r="9" spans="1:9" ht="21">
      <c r="A9" s="2" t="s">
        <v>16</v>
      </c>
      <c r="B9" s="2">
        <v>5.6</v>
      </c>
      <c r="C9" s="16">
        <v>1314.78</v>
      </c>
      <c r="D9" s="16">
        <v>1302.51</v>
      </c>
      <c r="E9" s="2">
        <v>-0.9</v>
      </c>
    </row>
    <row r="10" spans="1:9" ht="21">
      <c r="A10" s="2" t="s">
        <v>18</v>
      </c>
      <c r="B10" s="2">
        <v>2.9</v>
      </c>
      <c r="C10" s="16">
        <v>1061.05</v>
      </c>
      <c r="D10" s="16">
        <v>1047.54</v>
      </c>
      <c r="E10" s="2">
        <v>-1.3</v>
      </c>
    </row>
    <row r="11" spans="1:9" ht="21">
      <c r="A11" s="2" t="s">
        <v>20</v>
      </c>
      <c r="B11" s="2">
        <v>4.4000000000000004</v>
      </c>
      <c r="C11" s="16">
        <v>1269.2</v>
      </c>
      <c r="D11" s="16">
        <v>1269.3599999999999</v>
      </c>
      <c r="E11" s="2">
        <v>0</v>
      </c>
    </row>
    <row r="12" spans="1:9" ht="21">
      <c r="A12" s="2" t="s">
        <v>21</v>
      </c>
      <c r="B12" s="2">
        <v>3.3</v>
      </c>
      <c r="C12" s="16">
        <v>1038.3</v>
      </c>
      <c r="D12" s="16">
        <v>1017.27</v>
      </c>
      <c r="E12" s="2">
        <v>-2</v>
      </c>
    </row>
    <row r="13" spans="1:9" ht="21">
      <c r="A13" s="2" t="s">
        <v>23</v>
      </c>
      <c r="B13" s="2">
        <v>4.4000000000000004</v>
      </c>
      <c r="C13" s="16">
        <v>1617.09</v>
      </c>
      <c r="D13" s="16">
        <v>1554.4</v>
      </c>
      <c r="E13" s="2">
        <v>-3.9</v>
      </c>
    </row>
    <row r="14" spans="1:9" ht="21">
      <c r="A14" s="2" t="s">
        <v>25</v>
      </c>
      <c r="B14" s="2">
        <v>4.4000000000000004</v>
      </c>
      <c r="C14" s="16">
        <v>1496.7</v>
      </c>
      <c r="D14" s="16">
        <v>1481.43</v>
      </c>
      <c r="E14" s="2">
        <v>-1</v>
      </c>
    </row>
    <row r="15" spans="1:9" ht="21">
      <c r="A15" s="2" t="s">
        <v>27</v>
      </c>
      <c r="B15" s="2">
        <v>3.8</v>
      </c>
      <c r="C15" s="16">
        <v>1085.81</v>
      </c>
      <c r="D15" s="16">
        <v>1178.93</v>
      </c>
      <c r="E15" s="2">
        <v>8.6</v>
      </c>
    </row>
    <row r="16" spans="1:9" ht="21">
      <c r="A16" s="2" t="s">
        <v>29</v>
      </c>
      <c r="B16" s="2">
        <v>3.1</v>
      </c>
      <c r="C16" s="16">
        <v>1473.12</v>
      </c>
      <c r="D16" s="16">
        <v>1440.74</v>
      </c>
      <c r="E16" s="2">
        <v>-2.2000000000000002</v>
      </c>
    </row>
  </sheetData>
  <hyperlinks>
    <hyperlink ref="I3" r:id="rId1" xr:uid="{59B21469-7086-424A-8452-00B80E03A932}"/>
    <hyperlink ref="I2" r:id="rId2" xr:uid="{DDF9AC55-F704-488A-BDB5-5F56BDF4C5FF}"/>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93EFC-2D1B-48AF-B7CC-589E7415F2B7}">
  <sheetPr codeName="Sheet6"/>
  <dimension ref="A1:G16"/>
  <sheetViews>
    <sheetView workbookViewId="0">
      <selection activeCell="G7" sqref="G7"/>
    </sheetView>
  </sheetViews>
  <sheetFormatPr baseColWidth="10" defaultColWidth="8.83203125" defaultRowHeight="15"/>
  <cols>
    <col min="1" max="1" width="17.83203125" bestFit="1" customWidth="1"/>
    <col min="2" max="2" width="25.5" bestFit="1" customWidth="1"/>
    <col min="4" max="4" width="9.33203125" bestFit="1" customWidth="1"/>
    <col min="7" max="7" width="12.6640625" bestFit="1" customWidth="1"/>
    <col min="8" max="8" width="25.6640625" bestFit="1" customWidth="1"/>
    <col min="9" max="9" width="21" bestFit="1" customWidth="1"/>
  </cols>
  <sheetData>
    <row r="1" spans="1:7">
      <c r="A1" s="17" t="s">
        <v>2</v>
      </c>
      <c r="B1" s="17" t="s">
        <v>103</v>
      </c>
      <c r="C1" s="17" t="s">
        <v>104</v>
      </c>
      <c r="D1" s="17" t="s">
        <v>105</v>
      </c>
    </row>
    <row r="2" spans="1:7" ht="21">
      <c r="A2" s="2" t="s">
        <v>16</v>
      </c>
      <c r="B2" s="2">
        <v>0</v>
      </c>
      <c r="C2" s="2">
        <v>0</v>
      </c>
      <c r="D2" s="2">
        <v>0</v>
      </c>
      <c r="G2" t="s">
        <v>106</v>
      </c>
    </row>
    <row r="3" spans="1:7" ht="21">
      <c r="A3" s="2" t="s">
        <v>18</v>
      </c>
      <c r="B3" s="2">
        <v>0</v>
      </c>
      <c r="C3" s="2">
        <v>0</v>
      </c>
      <c r="D3" s="2">
        <v>0</v>
      </c>
      <c r="G3" s="15" t="s">
        <v>107</v>
      </c>
    </row>
    <row r="4" spans="1:7" ht="21">
      <c r="A4" s="2" t="s">
        <v>23</v>
      </c>
      <c r="B4" s="2">
        <v>0</v>
      </c>
      <c r="C4" s="2">
        <v>0</v>
      </c>
      <c r="D4" s="2">
        <v>0</v>
      </c>
    </row>
    <row r="5" spans="1:7" ht="21">
      <c r="A5" s="2" t="s">
        <v>27</v>
      </c>
      <c r="B5" s="2">
        <v>0</v>
      </c>
      <c r="C5" s="2">
        <v>0</v>
      </c>
      <c r="D5" s="2">
        <v>0</v>
      </c>
      <c r="G5" t="s">
        <v>104</v>
      </c>
    </row>
    <row r="6" spans="1:7" ht="21">
      <c r="A6" s="2" t="s">
        <v>4</v>
      </c>
      <c r="B6" s="2">
        <v>0.6</v>
      </c>
      <c r="C6" s="2">
        <v>0.2</v>
      </c>
      <c r="D6" s="2">
        <v>0.5</v>
      </c>
    </row>
    <row r="7" spans="1:7" ht="21">
      <c r="A7" s="2" t="s">
        <v>14</v>
      </c>
      <c r="B7" s="2">
        <v>0.2</v>
      </c>
      <c r="C7" s="2">
        <v>0.2</v>
      </c>
      <c r="D7" s="2">
        <v>0.5</v>
      </c>
    </row>
    <row r="8" spans="1:7" ht="21">
      <c r="A8" s="2" t="s">
        <v>9</v>
      </c>
      <c r="B8" s="2">
        <v>1.5</v>
      </c>
      <c r="C8" s="2">
        <v>1.7</v>
      </c>
      <c r="D8" s="2">
        <v>4.3</v>
      </c>
    </row>
    <row r="9" spans="1:7" ht="21">
      <c r="A9" s="2" t="s">
        <v>25</v>
      </c>
      <c r="B9" s="2">
        <v>4.7</v>
      </c>
      <c r="C9" s="2">
        <v>6.3</v>
      </c>
      <c r="D9" s="2">
        <v>16</v>
      </c>
    </row>
    <row r="10" spans="1:7" ht="21">
      <c r="A10" s="2" t="s">
        <v>29</v>
      </c>
      <c r="B10" s="2">
        <v>8</v>
      </c>
      <c r="C10" s="2">
        <v>13.7</v>
      </c>
      <c r="D10" s="2">
        <v>34.799999999999997</v>
      </c>
    </row>
    <row r="11" spans="1:7" ht="21">
      <c r="A11" s="2" t="s">
        <v>20</v>
      </c>
      <c r="B11" s="2">
        <v>11.4</v>
      </c>
      <c r="C11" s="2">
        <v>29.8</v>
      </c>
      <c r="D11" s="2">
        <v>75.7</v>
      </c>
    </row>
    <row r="12" spans="1:7" ht="21">
      <c r="A12" s="2" t="s">
        <v>8</v>
      </c>
      <c r="B12" s="2">
        <v>28.2</v>
      </c>
      <c r="C12" s="2">
        <v>38.799999999999997</v>
      </c>
      <c r="D12" s="2">
        <v>98.6</v>
      </c>
    </row>
    <row r="13" spans="1:7" ht="21">
      <c r="A13" s="2" t="s">
        <v>21</v>
      </c>
      <c r="B13" s="2">
        <v>40.200000000000003</v>
      </c>
      <c r="C13" s="2">
        <v>44.1</v>
      </c>
      <c r="D13" s="2">
        <v>112</v>
      </c>
    </row>
    <row r="14" spans="1:7" ht="21">
      <c r="A14" s="2" t="s">
        <v>13</v>
      </c>
      <c r="B14" s="2">
        <v>37.6</v>
      </c>
      <c r="C14" s="2">
        <v>45</v>
      </c>
      <c r="D14" s="2">
        <v>114.3</v>
      </c>
    </row>
    <row r="15" spans="1:7" ht="21">
      <c r="A15" s="2" t="s">
        <v>11</v>
      </c>
      <c r="B15" s="2">
        <v>31.4</v>
      </c>
      <c r="C15" s="2">
        <v>49</v>
      </c>
      <c r="D15" s="2">
        <v>124.5</v>
      </c>
    </row>
    <row r="16" spans="1:7" ht="21">
      <c r="A16" s="2" t="s">
        <v>6</v>
      </c>
      <c r="B16" s="2">
        <v>23</v>
      </c>
      <c r="C16" s="2">
        <v>49.2</v>
      </c>
      <c r="D16" s="2">
        <v>125</v>
      </c>
    </row>
  </sheetData>
  <hyperlinks>
    <hyperlink ref="G3" r:id="rId1" xr:uid="{ABEE6C6C-8D1B-4E77-9243-39498825174C}"/>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0535B-6347-4967-A195-8C16F0AD07FD}">
  <sheetPr codeName="Sheet7"/>
  <dimension ref="B2:F23"/>
  <sheetViews>
    <sheetView workbookViewId="0">
      <selection activeCell="F5" sqref="F5"/>
    </sheetView>
  </sheetViews>
  <sheetFormatPr baseColWidth="10" defaultColWidth="8.83203125" defaultRowHeight="15"/>
  <cols>
    <col min="2" max="2" width="15.6640625" customWidth="1"/>
    <col min="3" max="3" width="15.33203125" customWidth="1"/>
    <col min="4" max="4" width="28.83203125" customWidth="1"/>
  </cols>
  <sheetData>
    <row r="2" spans="2:6" ht="62.25" customHeight="1">
      <c r="B2" s="34" t="s">
        <v>81</v>
      </c>
      <c r="C2" s="34" t="s">
        <v>108</v>
      </c>
      <c r="D2" s="35" t="s">
        <v>109</v>
      </c>
    </row>
    <row r="3" spans="2:6">
      <c r="B3" s="30" t="s">
        <v>6</v>
      </c>
      <c r="C3" s="30" t="s">
        <v>86</v>
      </c>
      <c r="D3" s="32">
        <v>622</v>
      </c>
      <c r="F3" t="str">
        <f>"Best Water Quality Violation is " &amp; Water_Quality[[#This Row],[Average Water Quality Violations (ppm)]] &amp; "ppm for the city " &amp; Water_Quality[[#This Row],[City]] &amp; "."</f>
        <v>Best Water Quality Violation is 622ppm for the city Boston.</v>
      </c>
    </row>
    <row r="4" spans="2:6">
      <c r="B4" s="30" t="s">
        <v>14</v>
      </c>
      <c r="C4" s="30" t="s">
        <v>90</v>
      </c>
      <c r="D4" s="32">
        <v>657</v>
      </c>
    </row>
    <row r="5" spans="2:6">
      <c r="B5" s="30" t="s">
        <v>11</v>
      </c>
      <c r="C5" s="30" t="s">
        <v>88</v>
      </c>
      <c r="D5" s="32">
        <v>925</v>
      </c>
    </row>
    <row r="6" spans="2:6">
      <c r="B6" s="30" t="s">
        <v>29</v>
      </c>
      <c r="C6" s="30" t="s">
        <v>110</v>
      </c>
      <c r="D6" s="33">
        <v>1121</v>
      </c>
    </row>
    <row r="7" spans="2:6">
      <c r="B7" s="30" t="s">
        <v>4</v>
      </c>
      <c r="C7" s="30" t="s">
        <v>85</v>
      </c>
      <c r="D7" s="33">
        <v>1190</v>
      </c>
    </row>
    <row r="8" spans="2:6">
      <c r="B8" s="30" t="s">
        <v>9</v>
      </c>
      <c r="C8" s="30" t="s">
        <v>85</v>
      </c>
      <c r="D8" s="33">
        <v>1398</v>
      </c>
    </row>
    <row r="9" spans="2:6">
      <c r="B9" s="30" t="s">
        <v>25</v>
      </c>
      <c r="C9" s="30" t="s">
        <v>29</v>
      </c>
      <c r="D9" s="33">
        <v>1865</v>
      </c>
    </row>
    <row r="10" spans="2:6">
      <c r="B10" s="30" t="s">
        <v>18</v>
      </c>
      <c r="C10" s="30" t="s">
        <v>92</v>
      </c>
      <c r="D10" s="33">
        <v>2488</v>
      </c>
    </row>
    <row r="11" spans="2:6">
      <c r="B11" s="30" t="s">
        <v>27</v>
      </c>
      <c r="C11" s="30" t="s">
        <v>92</v>
      </c>
      <c r="D11" s="33">
        <v>2598</v>
      </c>
    </row>
    <row r="12" spans="2:6">
      <c r="B12" s="30" t="s">
        <v>8</v>
      </c>
      <c r="C12" s="30" t="s">
        <v>111</v>
      </c>
      <c r="D12" s="33">
        <v>3885</v>
      </c>
    </row>
    <row r="13" spans="2:6">
      <c r="B13" s="30" t="s">
        <v>13</v>
      </c>
      <c r="C13" s="30" t="s">
        <v>89</v>
      </c>
      <c r="D13" s="33">
        <v>4508</v>
      </c>
    </row>
    <row r="14" spans="2:6">
      <c r="B14" s="30" t="s">
        <v>16</v>
      </c>
      <c r="C14" s="30" t="s">
        <v>112</v>
      </c>
      <c r="D14" s="33">
        <v>5206</v>
      </c>
    </row>
    <row r="15" spans="2:6">
      <c r="B15" s="30" t="s">
        <v>23</v>
      </c>
      <c r="C15" s="30" t="s">
        <v>112</v>
      </c>
      <c r="D15" s="33">
        <v>5492</v>
      </c>
    </row>
    <row r="16" spans="2:6">
      <c r="B16" s="30" t="s">
        <v>20</v>
      </c>
      <c r="C16" s="30" t="s">
        <v>20</v>
      </c>
      <c r="D16" s="33">
        <v>6192</v>
      </c>
    </row>
    <row r="17" spans="2:4">
      <c r="B17" s="30" t="s">
        <v>31</v>
      </c>
      <c r="C17" s="30" t="s">
        <v>94</v>
      </c>
      <c r="D17" s="33">
        <v>11012</v>
      </c>
    </row>
    <row r="18" spans="2:4">
      <c r="B18" s="38"/>
      <c r="C18" s="30"/>
      <c r="D18" s="33"/>
    </row>
    <row r="20" spans="2:4">
      <c r="B20" t="s">
        <v>113</v>
      </c>
    </row>
    <row r="21" spans="2:4">
      <c r="B21" s="15" t="s">
        <v>114</v>
      </c>
    </row>
    <row r="22" spans="2:4">
      <c r="B22" s="15" t="s">
        <v>115</v>
      </c>
    </row>
    <row r="23" spans="2:4">
      <c r="B23" s="15" t="s">
        <v>116</v>
      </c>
    </row>
  </sheetData>
  <hyperlinks>
    <hyperlink ref="B21" r:id="rId1" xr:uid="{7A48212C-F0F9-41CE-923B-1A6CB7429E2A}"/>
    <hyperlink ref="B22" r:id="rId2" xr:uid="{D6EE2ACD-C142-4CF1-881B-B6951F3133BD}"/>
    <hyperlink ref="B23" r:id="rId3" xr:uid="{74B37AB4-7638-41C6-A79D-071442B834EC}"/>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A2BFF-FE40-4AC8-A39B-9290192774E8}">
  <sheetPr codeName="Sheet8"/>
  <dimension ref="B2:I22"/>
  <sheetViews>
    <sheetView workbookViewId="0">
      <selection activeCell="C2" sqref="C2:C17"/>
    </sheetView>
  </sheetViews>
  <sheetFormatPr baseColWidth="10" defaultColWidth="8.83203125" defaultRowHeight="15"/>
  <cols>
    <col min="2" max="2" width="12.83203125" bestFit="1" customWidth="1"/>
    <col min="3" max="4" width="15" bestFit="1" customWidth="1"/>
    <col min="5" max="5" width="13" bestFit="1" customWidth="1"/>
    <col min="6" max="9" width="15" bestFit="1" customWidth="1"/>
  </cols>
  <sheetData>
    <row r="2" spans="2:9" ht="32">
      <c r="B2" s="32" t="s">
        <v>81</v>
      </c>
      <c r="C2" s="32" t="s">
        <v>117</v>
      </c>
      <c r="D2" s="32" t="s">
        <v>118</v>
      </c>
      <c r="E2" s="32" t="s">
        <v>119</v>
      </c>
      <c r="F2" s="32" t="s">
        <v>120</v>
      </c>
      <c r="G2" s="32" t="s">
        <v>121</v>
      </c>
      <c r="H2" s="32" t="s">
        <v>122</v>
      </c>
      <c r="I2" s="32" t="s">
        <v>123</v>
      </c>
    </row>
    <row r="3" spans="2:9">
      <c r="B3" s="31" t="s">
        <v>4</v>
      </c>
      <c r="C3" s="93">
        <v>2473</v>
      </c>
      <c r="D3" s="31">
        <v>73.2</v>
      </c>
      <c r="E3" s="31">
        <v>66.400000000000006</v>
      </c>
      <c r="F3" s="31">
        <v>69.900000000000006</v>
      </c>
      <c r="G3" s="31">
        <v>70.3</v>
      </c>
      <c r="H3" s="31">
        <v>78.7</v>
      </c>
      <c r="I3" s="31">
        <v>128.30000000000001</v>
      </c>
    </row>
    <row r="4" spans="2:9">
      <c r="B4" s="31" t="s">
        <v>6</v>
      </c>
      <c r="C4" s="93">
        <v>3467</v>
      </c>
      <c r="D4" s="31">
        <v>84.6</v>
      </c>
      <c r="E4" s="31">
        <v>75.7</v>
      </c>
      <c r="F4" s="31">
        <v>80.3</v>
      </c>
      <c r="G4" s="31">
        <v>83.1</v>
      </c>
      <c r="H4" s="31">
        <v>86.2</v>
      </c>
      <c r="I4" s="31">
        <v>111.1</v>
      </c>
    </row>
    <row r="5" spans="2:9">
      <c r="B5" s="31" t="s">
        <v>8</v>
      </c>
      <c r="C5" s="93">
        <v>2667</v>
      </c>
      <c r="D5" s="31">
        <v>79</v>
      </c>
      <c r="E5" s="31">
        <v>58.4</v>
      </c>
      <c r="F5" s="31">
        <v>69.099999999999994</v>
      </c>
      <c r="G5" s="31">
        <v>75.5</v>
      </c>
      <c r="H5" s="31">
        <v>82.1</v>
      </c>
      <c r="I5" s="31">
        <v>121.3</v>
      </c>
    </row>
    <row r="6" spans="2:9">
      <c r="B6" s="31" t="s">
        <v>9</v>
      </c>
      <c r="C6" s="93">
        <v>2550</v>
      </c>
      <c r="D6" s="31">
        <v>77.099999999999994</v>
      </c>
      <c r="E6" s="31">
        <v>52.9</v>
      </c>
      <c r="F6" s="31">
        <v>65.5</v>
      </c>
      <c r="G6" s="31">
        <v>76.400000000000006</v>
      </c>
      <c r="H6" s="31">
        <v>77.7</v>
      </c>
      <c r="I6" s="31">
        <v>137</v>
      </c>
    </row>
    <row r="7" spans="2:9">
      <c r="B7" s="31" t="s">
        <v>11</v>
      </c>
      <c r="C7" s="93">
        <v>2699</v>
      </c>
      <c r="D7" s="31">
        <v>81.7</v>
      </c>
      <c r="E7" s="31">
        <v>55.2</v>
      </c>
      <c r="F7" s="31">
        <v>69</v>
      </c>
      <c r="G7" s="31">
        <v>79.400000000000006</v>
      </c>
      <c r="H7" s="31">
        <v>73.599999999999994</v>
      </c>
      <c r="I7" s="31">
        <v>138.30000000000001</v>
      </c>
    </row>
    <row r="8" spans="2:9">
      <c r="B8" s="31" t="s">
        <v>13</v>
      </c>
      <c r="C8" s="93">
        <v>2006</v>
      </c>
      <c r="D8" s="31">
        <v>74</v>
      </c>
      <c r="E8" s="31">
        <v>37.799999999999997</v>
      </c>
      <c r="F8" s="31">
        <v>56.6</v>
      </c>
      <c r="G8" s="31">
        <v>70.7</v>
      </c>
      <c r="H8" s="31">
        <v>65.8</v>
      </c>
      <c r="I8" s="31">
        <v>116.9</v>
      </c>
    </row>
    <row r="9" spans="2:9">
      <c r="B9" s="31" t="s">
        <v>14</v>
      </c>
      <c r="C9" s="93">
        <v>2246</v>
      </c>
      <c r="D9" s="31">
        <v>72.7</v>
      </c>
      <c r="E9" s="31">
        <v>40.4</v>
      </c>
      <c r="F9" s="31">
        <v>57.2</v>
      </c>
      <c r="G9" s="31">
        <v>64.900000000000006</v>
      </c>
      <c r="H9" s="31">
        <v>72.3</v>
      </c>
      <c r="I9" s="31">
        <v>118.5</v>
      </c>
    </row>
    <row r="10" spans="2:9">
      <c r="B10" s="31" t="s">
        <v>16</v>
      </c>
      <c r="C10" s="93">
        <v>3187</v>
      </c>
      <c r="D10" s="31">
        <v>78.7</v>
      </c>
      <c r="E10" s="31">
        <v>74.099999999999994</v>
      </c>
      <c r="F10" s="31">
        <v>76.5</v>
      </c>
      <c r="G10" s="31">
        <v>75.8</v>
      </c>
      <c r="H10" s="31">
        <v>86.7</v>
      </c>
      <c r="I10" s="31">
        <v>116</v>
      </c>
    </row>
    <row r="11" spans="2:9">
      <c r="B11" s="31" t="s">
        <v>18</v>
      </c>
      <c r="C11" s="93">
        <v>3103</v>
      </c>
      <c r="D11" s="31">
        <v>81.900000000000006</v>
      </c>
      <c r="E11" s="31">
        <v>71.900000000000006</v>
      </c>
      <c r="F11" s="31">
        <v>77.099999999999994</v>
      </c>
      <c r="G11" s="31">
        <v>80.2</v>
      </c>
      <c r="H11" s="31">
        <v>88.6</v>
      </c>
      <c r="I11" s="31">
        <v>89.2</v>
      </c>
    </row>
    <row r="12" spans="2:9">
      <c r="B12" s="31" t="s">
        <v>20</v>
      </c>
      <c r="C12" s="93">
        <v>4051</v>
      </c>
      <c r="D12" s="31">
        <v>100</v>
      </c>
      <c r="E12" s="31">
        <v>100</v>
      </c>
      <c r="F12" s="31">
        <v>100</v>
      </c>
      <c r="G12" s="31">
        <v>100</v>
      </c>
      <c r="H12" s="31">
        <v>100</v>
      </c>
      <c r="I12" s="31">
        <v>100</v>
      </c>
    </row>
    <row r="13" spans="2:9">
      <c r="B13" s="31" t="s">
        <v>31</v>
      </c>
      <c r="C13" s="93">
        <v>2223</v>
      </c>
      <c r="D13" s="31">
        <v>77.8</v>
      </c>
      <c r="E13" s="31">
        <v>38.1</v>
      </c>
      <c r="F13" s="31">
        <v>58.8</v>
      </c>
      <c r="G13" s="31">
        <v>84.8</v>
      </c>
      <c r="H13" s="31">
        <v>63.4</v>
      </c>
      <c r="I13" s="31">
        <v>118.9</v>
      </c>
    </row>
    <row r="14" spans="2:9">
      <c r="B14" s="31" t="s">
        <v>23</v>
      </c>
      <c r="C14" s="93">
        <v>3781</v>
      </c>
      <c r="D14" s="31">
        <v>99.6</v>
      </c>
      <c r="E14" s="31">
        <v>92.4</v>
      </c>
      <c r="F14" s="31">
        <v>96.1</v>
      </c>
      <c r="G14" s="31">
        <v>99.7</v>
      </c>
      <c r="H14" s="31">
        <v>97.3</v>
      </c>
      <c r="I14" s="31">
        <v>104</v>
      </c>
    </row>
    <row r="15" spans="2:9">
      <c r="B15" s="31" t="s">
        <v>25</v>
      </c>
      <c r="C15" s="93">
        <v>2908</v>
      </c>
      <c r="D15" s="31">
        <v>92.9</v>
      </c>
      <c r="E15" s="31">
        <v>68</v>
      </c>
      <c r="F15" s="31">
        <v>81</v>
      </c>
      <c r="G15" s="31">
        <v>89.5</v>
      </c>
      <c r="H15" s="31">
        <v>94.6</v>
      </c>
      <c r="I15" s="31">
        <v>126.2</v>
      </c>
    </row>
    <row r="16" spans="2:9">
      <c r="B16" s="31" t="s">
        <v>27</v>
      </c>
      <c r="C16" s="93">
        <v>2518</v>
      </c>
      <c r="D16" s="31">
        <v>76.3</v>
      </c>
      <c r="E16" s="31">
        <v>59.2</v>
      </c>
      <c r="F16" s="31">
        <v>68.099999999999994</v>
      </c>
      <c r="G16" s="31">
        <v>71.099999999999994</v>
      </c>
      <c r="H16" s="31">
        <v>78</v>
      </c>
      <c r="I16" s="31">
        <v>127.8</v>
      </c>
    </row>
    <row r="17" spans="2:9">
      <c r="B17" s="31" t="s">
        <v>29</v>
      </c>
      <c r="C17" s="93">
        <v>3139</v>
      </c>
      <c r="D17" s="31">
        <v>83.8</v>
      </c>
      <c r="E17" s="31">
        <v>69.099999999999994</v>
      </c>
      <c r="F17" s="31">
        <v>76.7</v>
      </c>
      <c r="G17" s="31">
        <v>82.7</v>
      </c>
      <c r="H17" s="31">
        <v>82.5</v>
      </c>
      <c r="I17" s="31">
        <v>127.9</v>
      </c>
    </row>
    <row r="19" spans="2:9">
      <c r="B19" t="s">
        <v>124</v>
      </c>
    </row>
    <row r="20" spans="2:9">
      <c r="B20" s="15" t="s">
        <v>125</v>
      </c>
    </row>
    <row r="21" spans="2:9">
      <c r="B21" s="15" t="s">
        <v>126</v>
      </c>
    </row>
    <row r="22" spans="2:9">
      <c r="B22" s="15" t="s">
        <v>127</v>
      </c>
    </row>
  </sheetData>
  <hyperlinks>
    <hyperlink ref="B20" r:id="rId1" xr:uid="{6FFAF54E-6D42-4A1A-8E64-D300AA956C35}"/>
    <hyperlink ref="B21" r:id="rId2" xr:uid="{BF9AB0D5-E436-4CE9-9E51-6055B3ECBE72}"/>
    <hyperlink ref="B22" r:id="rId3" xr:uid="{F489AB82-97AE-41A8-9B82-1F3509DB864A}"/>
  </hyperlinks>
  <pageMargins left="0.7" right="0.7" top="0.75" bottom="0.75" header="0.3" footer="0.3"/>
  <pageSetup orientation="portrait" r:id="rId4"/>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5912-70A8-4942-A2B6-0D8CF449B028}">
  <dimension ref="A1:F36"/>
  <sheetViews>
    <sheetView workbookViewId="0">
      <selection activeCell="B1" sqref="B1"/>
    </sheetView>
  </sheetViews>
  <sheetFormatPr baseColWidth="10" defaultColWidth="8.83203125" defaultRowHeight="15"/>
  <cols>
    <col min="1" max="1" width="90.83203125" customWidth="1"/>
    <col min="2" max="2" width="17.1640625" customWidth="1"/>
    <col min="3" max="3" width="15.1640625" bestFit="1" customWidth="1"/>
    <col min="4" max="4" width="44.5" style="38" customWidth="1"/>
    <col min="5" max="5" width="33.5" customWidth="1"/>
    <col min="6" max="6" width="44.5" customWidth="1"/>
  </cols>
  <sheetData>
    <row r="1" spans="1:6" ht="24.75" customHeight="1">
      <c r="A1" s="182" t="s">
        <v>285</v>
      </c>
    </row>
    <row r="3" spans="1:6" ht="17" thickBot="1">
      <c r="A3" s="181"/>
      <c r="E3" s="180"/>
      <c r="F3" s="180"/>
    </row>
    <row r="4" spans="1:6" ht="23" thickBot="1">
      <c r="A4" s="179" t="s">
        <v>280</v>
      </c>
      <c r="B4" s="178" t="s">
        <v>279</v>
      </c>
      <c r="C4" s="177" t="s">
        <v>278</v>
      </c>
      <c r="D4" s="176" t="s">
        <v>277</v>
      </c>
      <c r="E4" s="157"/>
    </row>
    <row r="5" spans="1:6" ht="16" thickBot="1">
      <c r="A5" s="183" t="s">
        <v>276</v>
      </c>
      <c r="B5" s="184"/>
      <c r="C5" s="184"/>
      <c r="D5" s="185"/>
      <c r="E5" s="157"/>
    </row>
    <row r="6" spans="1:6" ht="77.25" customHeight="1" thickBot="1">
      <c r="A6" s="175" t="s">
        <v>275</v>
      </c>
      <c r="B6" s="174">
        <v>25</v>
      </c>
      <c r="C6" s="174">
        <v>25</v>
      </c>
      <c r="D6" s="169" t="s">
        <v>281</v>
      </c>
      <c r="E6" s="157"/>
    </row>
    <row r="7" spans="1:6" ht="33" thickBot="1">
      <c r="A7" s="163" t="s">
        <v>274</v>
      </c>
      <c r="B7" s="162">
        <v>15</v>
      </c>
      <c r="C7" s="162">
        <v>15</v>
      </c>
      <c r="D7" s="173" t="s">
        <v>284</v>
      </c>
      <c r="E7" s="157"/>
    </row>
    <row r="8" spans="1:6" ht="33" thickBot="1">
      <c r="A8" s="163" t="s">
        <v>273</v>
      </c>
      <c r="B8" s="162">
        <v>25</v>
      </c>
      <c r="C8" s="162">
        <v>25</v>
      </c>
      <c r="D8" s="164" t="s">
        <v>272</v>
      </c>
      <c r="E8" s="157"/>
    </row>
    <row r="9" spans="1:6" ht="33" thickBot="1">
      <c r="A9" s="163" t="s">
        <v>271</v>
      </c>
      <c r="B9" s="162">
        <v>15</v>
      </c>
      <c r="C9" s="162">
        <v>15</v>
      </c>
      <c r="D9" s="173" t="s">
        <v>282</v>
      </c>
      <c r="E9" s="157"/>
    </row>
    <row r="10" spans="1:6" ht="17" thickBot="1">
      <c r="A10" s="163" t="s">
        <v>270</v>
      </c>
      <c r="B10" s="162">
        <v>20</v>
      </c>
      <c r="C10" s="162">
        <v>20</v>
      </c>
      <c r="D10" s="164"/>
      <c r="E10" s="157"/>
    </row>
    <row r="11" spans="1:6" ht="17" thickBot="1">
      <c r="A11" s="163" t="s">
        <v>269</v>
      </c>
      <c r="B11" s="162">
        <v>20</v>
      </c>
      <c r="C11" s="162">
        <v>20</v>
      </c>
      <c r="D11" s="161"/>
      <c r="E11" s="157"/>
    </row>
    <row r="12" spans="1:6" ht="32.25" customHeight="1" thickBot="1">
      <c r="A12" s="172" t="s">
        <v>268</v>
      </c>
      <c r="B12" s="166">
        <v>20</v>
      </c>
      <c r="C12" s="166">
        <v>20</v>
      </c>
      <c r="D12" s="171" t="s">
        <v>267</v>
      </c>
      <c r="E12" s="157"/>
    </row>
    <row r="13" spans="1:6" ht="16" thickBot="1">
      <c r="A13" s="186" t="s">
        <v>266</v>
      </c>
      <c r="B13" s="187"/>
      <c r="C13" s="187"/>
      <c r="D13" s="188"/>
    </row>
    <row r="14" spans="1:6" ht="34.5" customHeight="1" thickBot="1">
      <c r="A14" s="163" t="s">
        <v>265</v>
      </c>
      <c r="B14" s="170">
        <v>3</v>
      </c>
      <c r="C14" s="170">
        <v>3</v>
      </c>
      <c r="D14" s="169"/>
      <c r="E14" s="157"/>
    </row>
    <row r="15" spans="1:6" ht="17" thickBot="1">
      <c r="A15" s="163" t="s">
        <v>264</v>
      </c>
      <c r="B15" s="162">
        <v>6</v>
      </c>
      <c r="C15" s="162">
        <v>6</v>
      </c>
      <c r="D15" s="168"/>
      <c r="E15" s="157"/>
    </row>
    <row r="16" spans="1:6" ht="33" thickBot="1">
      <c r="A16" s="167" t="s">
        <v>263</v>
      </c>
      <c r="B16" s="166">
        <v>6</v>
      </c>
      <c r="C16" s="166">
        <v>6</v>
      </c>
      <c r="D16" s="161"/>
      <c r="E16" s="157"/>
    </row>
    <row r="17" spans="1:5" ht="16" thickBot="1">
      <c r="A17" s="189" t="s">
        <v>262</v>
      </c>
      <c r="B17" s="190"/>
      <c r="C17" s="190"/>
      <c r="D17" s="191"/>
    </row>
    <row r="18" spans="1:5" ht="33" thickBot="1">
      <c r="A18" s="163" t="s">
        <v>261</v>
      </c>
      <c r="B18" s="162">
        <v>25</v>
      </c>
      <c r="C18" s="162">
        <v>25</v>
      </c>
      <c r="D18" s="165" t="s">
        <v>283</v>
      </c>
      <c r="E18" s="157"/>
    </row>
    <row r="19" spans="1:5" ht="33" thickBot="1">
      <c r="A19" s="163" t="s">
        <v>260</v>
      </c>
      <c r="B19" s="162">
        <v>15</v>
      </c>
      <c r="C19" s="162">
        <v>15</v>
      </c>
      <c r="D19" s="164" t="s">
        <v>259</v>
      </c>
      <c r="E19" s="157"/>
    </row>
    <row r="20" spans="1:5" ht="17" thickBot="1">
      <c r="A20" s="163" t="s">
        <v>258</v>
      </c>
      <c r="B20" s="162">
        <v>5</v>
      </c>
      <c r="C20" s="162">
        <v>5</v>
      </c>
      <c r="D20" s="161"/>
      <c r="E20" s="157"/>
    </row>
    <row r="21" spans="1:5" ht="17" thickBot="1">
      <c r="A21" s="160" t="s">
        <v>257</v>
      </c>
      <c r="B21" s="159">
        <f>SUM(B20,B19,B18,B16,B15,B14,B12,B6:B11)</f>
        <v>200</v>
      </c>
      <c r="C21" s="159">
        <f>SUM(C6:C20)</f>
        <v>200</v>
      </c>
      <c r="D21" s="158">
        <f>C21/B21</f>
        <v>1</v>
      </c>
      <c r="E21" s="157"/>
    </row>
    <row r="26" spans="1:5">
      <c r="A26" s="155"/>
      <c r="D26" s="156"/>
    </row>
    <row r="27" spans="1:5">
      <c r="A27" s="155"/>
      <c r="D27" s="154"/>
    </row>
    <row r="28" spans="1:5">
      <c r="A28" s="155"/>
      <c r="D28" s="154"/>
    </row>
    <row r="29" spans="1:5">
      <c r="A29" s="155"/>
      <c r="D29" s="154"/>
    </row>
    <row r="30" spans="1:5">
      <c r="A30" s="155"/>
      <c r="D30" s="154"/>
    </row>
    <row r="31" spans="1:5">
      <c r="A31" s="155"/>
      <c r="D31" s="156"/>
    </row>
    <row r="32" spans="1:5">
      <c r="A32" s="155"/>
      <c r="D32" s="154"/>
    </row>
    <row r="33" spans="1:4">
      <c r="A33" s="155"/>
      <c r="D33" s="154"/>
    </row>
    <row r="34" spans="1:4">
      <c r="A34" s="155"/>
      <c r="D34" s="154"/>
    </row>
    <row r="35" spans="1:4">
      <c r="A35" s="155"/>
      <c r="D35" s="154"/>
    </row>
    <row r="36" spans="1:4">
      <c r="A36" s="155"/>
      <c r="D36" s="154"/>
    </row>
  </sheetData>
  <mergeCells count="3">
    <mergeCell ref="A5:D5"/>
    <mergeCell ref="A13:D13"/>
    <mergeCell ref="A17:D1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6D8B4-EDD9-4849-B46E-1DDD5F526180}">
  <sheetPr>
    <tabColor theme="8" tint="0.79998168889431442"/>
  </sheetPr>
  <dimension ref="B1:Q53"/>
  <sheetViews>
    <sheetView workbookViewId="0">
      <selection activeCell="L28" sqref="L28"/>
    </sheetView>
  </sheetViews>
  <sheetFormatPr baseColWidth="10" defaultColWidth="8.83203125" defaultRowHeight="15"/>
  <cols>
    <col min="1" max="2" width="12.6640625" bestFit="1" customWidth="1"/>
    <col min="3" max="3" width="26.6640625" bestFit="1" customWidth="1"/>
    <col min="4" max="4" width="26.1640625" bestFit="1" customWidth="1"/>
    <col min="5" max="5" width="18" bestFit="1" customWidth="1"/>
    <col min="6" max="6" width="21.6640625" bestFit="1" customWidth="1"/>
    <col min="7" max="7" width="22" bestFit="1" customWidth="1"/>
    <col min="8" max="8" width="12.6640625" bestFit="1" customWidth="1"/>
    <col min="9" max="9" width="19.1640625" bestFit="1" customWidth="1"/>
    <col min="10" max="11" width="28.5" bestFit="1" customWidth="1"/>
    <col min="12" max="12" width="29" bestFit="1" customWidth="1"/>
    <col min="13" max="13" width="20.6640625" bestFit="1" customWidth="1"/>
    <col min="14" max="14" width="24.33203125" bestFit="1" customWidth="1"/>
    <col min="15" max="17" width="9.83203125" bestFit="1" customWidth="1"/>
  </cols>
  <sheetData>
    <row r="1" spans="2:14" ht="32">
      <c r="B1" s="40" t="s">
        <v>81</v>
      </c>
      <c r="C1" s="39" t="s">
        <v>80</v>
      </c>
      <c r="D1" s="35" t="s">
        <v>109</v>
      </c>
      <c r="E1" s="40" t="s">
        <v>128</v>
      </c>
      <c r="F1" s="40" t="s">
        <v>129</v>
      </c>
      <c r="H1" s="40" t="s">
        <v>81</v>
      </c>
      <c r="I1" s="39" t="s">
        <v>80</v>
      </c>
      <c r="J1" s="39" t="s">
        <v>97</v>
      </c>
      <c r="K1" s="39" t="s">
        <v>98</v>
      </c>
      <c r="L1" s="39" t="s">
        <v>117</v>
      </c>
      <c r="M1" s="39" t="s">
        <v>118</v>
      </c>
      <c r="N1" s="39" t="s">
        <v>131</v>
      </c>
    </row>
    <row r="2" spans="2:14">
      <c r="B2" s="144" t="s">
        <v>4</v>
      </c>
      <c r="C2" s="105" t="s">
        <v>85</v>
      </c>
      <c r="D2" s="33">
        <v>1190</v>
      </c>
      <c r="E2">
        <v>0.2</v>
      </c>
      <c r="F2" s="144">
        <v>48.03</v>
      </c>
      <c r="H2" s="144" t="s">
        <v>4</v>
      </c>
      <c r="I2" s="105" t="s">
        <v>85</v>
      </c>
      <c r="J2" s="145">
        <v>1213.0899999999999</v>
      </c>
      <c r="K2" s="145">
        <v>1241.42</v>
      </c>
      <c r="L2" s="146" t="s">
        <v>132</v>
      </c>
      <c r="M2" s="105">
        <v>73.2</v>
      </c>
      <c r="N2" s="105">
        <v>8.25</v>
      </c>
    </row>
    <row r="3" spans="2:14">
      <c r="B3" s="147" t="s">
        <v>6</v>
      </c>
      <c r="C3" s="106" t="s">
        <v>86</v>
      </c>
      <c r="D3" s="32">
        <v>622</v>
      </c>
      <c r="E3">
        <v>49.2</v>
      </c>
      <c r="F3" s="147">
        <v>87.1</v>
      </c>
      <c r="H3" s="147" t="s">
        <v>6</v>
      </c>
      <c r="I3" s="106" t="s">
        <v>86</v>
      </c>
      <c r="J3" s="148">
        <v>1478.81</v>
      </c>
      <c r="K3" s="148">
        <v>1498.72</v>
      </c>
      <c r="L3" s="149" t="s">
        <v>133</v>
      </c>
      <c r="M3" s="106">
        <v>84.6</v>
      </c>
      <c r="N3" s="106">
        <v>6.25</v>
      </c>
    </row>
    <row r="4" spans="2:14">
      <c r="B4" s="144" t="s">
        <v>8</v>
      </c>
      <c r="C4" s="105" t="s">
        <v>87</v>
      </c>
      <c r="D4" s="33">
        <v>3885</v>
      </c>
      <c r="E4">
        <v>38.799999999999997</v>
      </c>
      <c r="F4" s="144">
        <v>50.35</v>
      </c>
      <c r="H4" s="144" t="s">
        <v>8</v>
      </c>
      <c r="I4" s="105" t="s">
        <v>87</v>
      </c>
      <c r="J4" s="145">
        <v>1166.8900000000001</v>
      </c>
      <c r="K4" s="145">
        <v>1174.1099999999999</v>
      </c>
      <c r="L4" s="146" t="s">
        <v>134</v>
      </c>
      <c r="M4" s="105">
        <v>79</v>
      </c>
      <c r="N4" s="105">
        <v>10.25</v>
      </c>
    </row>
    <row r="5" spans="2:14">
      <c r="B5" s="147" t="s">
        <v>9</v>
      </c>
      <c r="C5" s="106" t="s">
        <v>85</v>
      </c>
      <c r="D5" s="33">
        <v>1398</v>
      </c>
      <c r="E5">
        <v>1.7</v>
      </c>
      <c r="F5" s="147">
        <v>58.24</v>
      </c>
      <c r="H5" s="147" t="s">
        <v>9</v>
      </c>
      <c r="I5" s="106" t="s">
        <v>85</v>
      </c>
      <c r="J5" s="148">
        <v>1243.1099999999999</v>
      </c>
      <c r="K5" s="148">
        <v>1264.1600000000001</v>
      </c>
      <c r="L5" s="149" t="s">
        <v>135</v>
      </c>
      <c r="M5" s="106">
        <v>77.099999999999994</v>
      </c>
      <c r="N5" s="106">
        <v>8.25</v>
      </c>
    </row>
    <row r="6" spans="2:14">
      <c r="B6" s="144" t="s">
        <v>11</v>
      </c>
      <c r="C6" s="105" t="s">
        <v>88</v>
      </c>
      <c r="D6" s="32">
        <v>925</v>
      </c>
      <c r="E6">
        <v>49</v>
      </c>
      <c r="F6" s="144">
        <v>49.11</v>
      </c>
      <c r="H6" s="144" t="s">
        <v>11</v>
      </c>
      <c r="I6" s="105" t="s">
        <v>88</v>
      </c>
      <c r="J6" s="145">
        <v>1344.9</v>
      </c>
      <c r="K6" s="145">
        <v>1375.3</v>
      </c>
      <c r="L6" s="146" t="s">
        <v>136</v>
      </c>
      <c r="M6" s="105">
        <v>81.7</v>
      </c>
      <c r="N6" s="105">
        <v>7.65</v>
      </c>
    </row>
    <row r="7" spans="2:14">
      <c r="B7" s="147" t="s">
        <v>13</v>
      </c>
      <c r="C7" s="42" t="s">
        <v>89</v>
      </c>
      <c r="D7" s="33">
        <v>4508</v>
      </c>
      <c r="E7">
        <v>45</v>
      </c>
      <c r="F7" s="147">
        <v>33.89</v>
      </c>
      <c r="H7" s="147" t="s">
        <v>13</v>
      </c>
      <c r="I7" s="42" t="s">
        <v>89</v>
      </c>
      <c r="J7" s="150">
        <v>1229.8900000000001</v>
      </c>
      <c r="K7" s="150">
        <v>1222.92</v>
      </c>
      <c r="L7" s="151" t="s">
        <v>137</v>
      </c>
      <c r="M7" s="42">
        <v>74</v>
      </c>
      <c r="N7" s="42">
        <v>6</v>
      </c>
    </row>
    <row r="8" spans="2:14">
      <c r="B8" s="144" t="s">
        <v>14</v>
      </c>
      <c r="C8" s="105" t="s">
        <v>90</v>
      </c>
      <c r="D8" s="32">
        <v>657</v>
      </c>
      <c r="E8">
        <v>0.2</v>
      </c>
      <c r="F8" s="144">
        <v>58.18</v>
      </c>
      <c r="H8" s="144" t="s">
        <v>14</v>
      </c>
      <c r="I8" s="105" t="s">
        <v>90</v>
      </c>
      <c r="J8" s="145">
        <v>994.65</v>
      </c>
      <c r="K8" s="145">
        <v>1045.81</v>
      </c>
      <c r="L8" s="146" t="s">
        <v>138</v>
      </c>
      <c r="M8" s="105">
        <v>72.7</v>
      </c>
      <c r="N8" s="105">
        <v>8.3800000000000008</v>
      </c>
    </row>
    <row r="9" spans="2:14">
      <c r="B9" s="147" t="s">
        <v>16</v>
      </c>
      <c r="C9" s="42" t="s">
        <v>91</v>
      </c>
      <c r="D9" s="33">
        <v>5206</v>
      </c>
      <c r="E9">
        <v>0</v>
      </c>
      <c r="F9" s="147">
        <v>48.84</v>
      </c>
      <c r="H9" s="147" t="s">
        <v>16</v>
      </c>
      <c r="I9" s="42" t="s">
        <v>91</v>
      </c>
      <c r="J9" s="150">
        <v>1314.78</v>
      </c>
      <c r="K9" s="150">
        <v>1302.51</v>
      </c>
      <c r="L9" s="151" t="s">
        <v>139</v>
      </c>
      <c r="M9" s="42">
        <v>78.7</v>
      </c>
      <c r="N9" s="42">
        <v>9.5</v>
      </c>
    </row>
    <row r="10" spans="2:14">
      <c r="B10" s="144" t="s">
        <v>18</v>
      </c>
      <c r="C10" s="43" t="s">
        <v>92</v>
      </c>
      <c r="D10" s="33">
        <v>2488</v>
      </c>
      <c r="E10">
        <v>0</v>
      </c>
      <c r="F10" s="144">
        <v>76.67</v>
      </c>
      <c r="H10" s="144" t="s">
        <v>18</v>
      </c>
      <c r="I10" s="43" t="s">
        <v>92</v>
      </c>
      <c r="J10" s="152">
        <v>1061.05</v>
      </c>
      <c r="K10" s="152">
        <v>1047.54</v>
      </c>
      <c r="L10" s="153" t="s">
        <v>140</v>
      </c>
      <c r="M10" s="43">
        <v>81.900000000000006</v>
      </c>
      <c r="N10" s="43">
        <v>7</v>
      </c>
    </row>
    <row r="11" spans="2:14">
      <c r="B11" s="147" t="s">
        <v>20</v>
      </c>
      <c r="C11" s="42" t="s">
        <v>93</v>
      </c>
      <c r="D11" s="33">
        <v>6192</v>
      </c>
      <c r="E11">
        <v>29.8</v>
      </c>
      <c r="F11" s="147">
        <v>38.17</v>
      </c>
      <c r="H11" s="147" t="s">
        <v>20</v>
      </c>
      <c r="I11" s="42" t="s">
        <v>93</v>
      </c>
      <c r="J11" s="150">
        <v>1269.2</v>
      </c>
      <c r="K11" s="150">
        <v>1269.3599999999999</v>
      </c>
      <c r="L11" s="151" t="s">
        <v>141</v>
      </c>
      <c r="M11" s="42">
        <v>100</v>
      </c>
      <c r="N11" s="42">
        <v>8.875</v>
      </c>
    </row>
    <row r="12" spans="2:14">
      <c r="B12" s="144" t="s">
        <v>31</v>
      </c>
      <c r="C12" s="43" t="s">
        <v>94</v>
      </c>
      <c r="D12" s="33">
        <v>11012</v>
      </c>
      <c r="E12">
        <v>44.1</v>
      </c>
      <c r="F12" s="144">
        <v>79.2</v>
      </c>
      <c r="H12" s="144" t="s">
        <v>31</v>
      </c>
      <c r="I12" s="43" t="s">
        <v>94</v>
      </c>
      <c r="J12" s="152">
        <v>1038.3</v>
      </c>
      <c r="K12" s="152">
        <v>1017.27</v>
      </c>
      <c r="L12" s="153" t="s">
        <v>142</v>
      </c>
      <c r="M12" s="43">
        <v>77.8</v>
      </c>
      <c r="N12" s="43">
        <v>7</v>
      </c>
    </row>
    <row r="13" spans="2:14">
      <c r="B13" s="147" t="s">
        <v>23</v>
      </c>
      <c r="C13" s="106" t="s">
        <v>91</v>
      </c>
      <c r="D13" s="33">
        <v>5492</v>
      </c>
      <c r="E13">
        <v>0</v>
      </c>
      <c r="F13" s="147">
        <v>67</v>
      </c>
      <c r="H13" s="147" t="s">
        <v>23</v>
      </c>
      <c r="I13" s="106" t="s">
        <v>91</v>
      </c>
      <c r="J13" s="148">
        <v>1617.09</v>
      </c>
      <c r="K13" s="148">
        <v>1554.4</v>
      </c>
      <c r="L13" s="149" t="s">
        <v>143</v>
      </c>
      <c r="M13" s="106">
        <v>99.6</v>
      </c>
      <c r="N13" s="106">
        <v>8.5</v>
      </c>
    </row>
    <row r="14" spans="2:14">
      <c r="B14" s="144" t="s">
        <v>25</v>
      </c>
      <c r="C14" s="105" t="s">
        <v>29</v>
      </c>
      <c r="D14" s="33">
        <v>1865</v>
      </c>
      <c r="E14">
        <v>6.3</v>
      </c>
      <c r="F14" s="144">
        <v>31.56</v>
      </c>
      <c r="H14" s="144" t="s">
        <v>25</v>
      </c>
      <c r="I14" s="105" t="s">
        <v>29</v>
      </c>
      <c r="J14" s="145">
        <v>1496.7</v>
      </c>
      <c r="K14" s="145">
        <v>1481.43</v>
      </c>
      <c r="L14" s="146" t="s">
        <v>144</v>
      </c>
      <c r="M14" s="105">
        <v>92.9</v>
      </c>
      <c r="N14" s="105">
        <v>10.1</v>
      </c>
    </row>
    <row r="15" spans="2:14">
      <c r="B15" s="147" t="s">
        <v>27</v>
      </c>
      <c r="C15" s="106" t="s">
        <v>92</v>
      </c>
      <c r="D15" s="33">
        <v>2598</v>
      </c>
      <c r="E15">
        <v>0</v>
      </c>
      <c r="F15" s="147">
        <v>49.89</v>
      </c>
      <c r="H15" s="147" t="s">
        <v>27</v>
      </c>
      <c r="I15" s="106" t="s">
        <v>92</v>
      </c>
      <c r="J15" s="148">
        <v>1085.81</v>
      </c>
      <c r="K15" s="148">
        <v>1178.93</v>
      </c>
      <c r="L15" s="149" t="s">
        <v>145</v>
      </c>
      <c r="M15" s="106">
        <v>76.3</v>
      </c>
      <c r="N15" s="106">
        <v>7.5</v>
      </c>
    </row>
    <row r="16" spans="2:14">
      <c r="B16" s="144" t="s">
        <v>29</v>
      </c>
      <c r="C16" s="43" t="s">
        <v>95</v>
      </c>
      <c r="D16" s="33">
        <v>1121</v>
      </c>
      <c r="E16">
        <v>13.7</v>
      </c>
      <c r="F16" s="144">
        <v>52.78</v>
      </c>
      <c r="H16" s="144" t="s">
        <v>29</v>
      </c>
      <c r="I16" s="43" t="s">
        <v>95</v>
      </c>
      <c r="J16" s="152">
        <v>1473.12</v>
      </c>
      <c r="K16" s="152">
        <v>1440.74</v>
      </c>
      <c r="L16" s="153" t="s">
        <v>146</v>
      </c>
      <c r="M16" s="43">
        <v>83.8</v>
      </c>
      <c r="N16" s="43">
        <v>6</v>
      </c>
    </row>
    <row r="19" spans="2:17">
      <c r="B19" s="39" t="s">
        <v>81</v>
      </c>
      <c r="C19" s="39" t="s">
        <v>117</v>
      </c>
      <c r="D19" s="39" t="s">
        <v>118</v>
      </c>
      <c r="F19" s="39" t="s">
        <v>81</v>
      </c>
      <c r="G19" s="48" t="s">
        <v>131</v>
      </c>
      <c r="I19" s="39" t="s">
        <v>81</v>
      </c>
      <c r="J19" s="39" t="s">
        <v>80</v>
      </c>
      <c r="K19" s="107" t="s">
        <v>129</v>
      </c>
      <c r="M19" s="53" t="s">
        <v>108</v>
      </c>
      <c r="N19" s="54" t="s">
        <v>147</v>
      </c>
      <c r="O19" s="54" t="s">
        <v>148</v>
      </c>
      <c r="P19" s="54" t="s">
        <v>149</v>
      </c>
      <c r="Q19" s="55" t="s">
        <v>150</v>
      </c>
    </row>
    <row r="20" spans="2:17">
      <c r="B20" s="46" t="s">
        <v>4</v>
      </c>
      <c r="C20" s="70">
        <v>2473</v>
      </c>
      <c r="D20" s="46">
        <v>73.2</v>
      </c>
      <c r="F20" s="46" t="s">
        <v>4</v>
      </c>
      <c r="G20" s="49">
        <v>8.25</v>
      </c>
      <c r="I20" s="105" t="s">
        <v>4</v>
      </c>
      <c r="J20" s="105" t="s">
        <v>85</v>
      </c>
      <c r="K20" s="108">
        <v>48.03</v>
      </c>
      <c r="M20" s="57" t="s">
        <v>85</v>
      </c>
      <c r="N20" s="58">
        <v>29234361</v>
      </c>
      <c r="O20" s="58">
        <v>29561286</v>
      </c>
      <c r="P20" s="58">
        <v>30029848</v>
      </c>
      <c r="Q20" s="59">
        <v>30503301</v>
      </c>
    </row>
    <row r="21" spans="2:17">
      <c r="B21" s="47" t="s">
        <v>6</v>
      </c>
      <c r="C21" s="71">
        <v>3467</v>
      </c>
      <c r="D21" s="47">
        <v>84.6</v>
      </c>
      <c r="F21" s="47" t="s">
        <v>6</v>
      </c>
      <c r="G21" s="50">
        <v>6.25</v>
      </c>
      <c r="I21" s="106" t="s">
        <v>6</v>
      </c>
      <c r="J21" s="106" t="s">
        <v>86</v>
      </c>
      <c r="K21" s="109">
        <v>87.1</v>
      </c>
      <c r="M21" s="61" t="s">
        <v>86</v>
      </c>
      <c r="N21" s="62">
        <v>6997713</v>
      </c>
      <c r="O21" s="62">
        <v>6991951</v>
      </c>
      <c r="P21" s="62">
        <v>6982740</v>
      </c>
      <c r="Q21" s="63">
        <v>7001399</v>
      </c>
    </row>
    <row r="22" spans="2:17">
      <c r="B22" s="46" t="s">
        <v>8</v>
      </c>
      <c r="C22" s="70">
        <v>2667</v>
      </c>
      <c r="D22" s="46">
        <v>79</v>
      </c>
      <c r="F22" s="46" t="s">
        <v>8</v>
      </c>
      <c r="G22" s="49">
        <v>10.25</v>
      </c>
      <c r="I22" s="105" t="s">
        <v>8</v>
      </c>
      <c r="J22" s="105" t="s">
        <v>87</v>
      </c>
      <c r="K22" s="108">
        <v>50.35</v>
      </c>
      <c r="M22" s="57" t="s">
        <v>111</v>
      </c>
      <c r="N22" s="58">
        <v>12790357</v>
      </c>
      <c r="O22" s="58">
        <v>12690341</v>
      </c>
      <c r="P22" s="58">
        <v>12582515</v>
      </c>
      <c r="Q22" s="59">
        <v>12549689</v>
      </c>
    </row>
    <row r="23" spans="2:17">
      <c r="B23" s="47" t="s">
        <v>9</v>
      </c>
      <c r="C23" s="71">
        <v>2550</v>
      </c>
      <c r="D23" s="47">
        <v>77.099999999999994</v>
      </c>
      <c r="F23" s="47" t="s">
        <v>9</v>
      </c>
      <c r="G23" s="50">
        <v>8.25</v>
      </c>
      <c r="I23" s="106" t="s">
        <v>9</v>
      </c>
      <c r="J23" s="106" t="s">
        <v>85</v>
      </c>
      <c r="K23" s="109">
        <v>58.24</v>
      </c>
      <c r="M23" s="61" t="s">
        <v>85</v>
      </c>
      <c r="N23" s="62">
        <v>29234361</v>
      </c>
      <c r="O23" s="62">
        <v>29561286</v>
      </c>
      <c r="P23" s="62">
        <v>30029848</v>
      </c>
      <c r="Q23" s="63">
        <v>30503301</v>
      </c>
    </row>
    <row r="24" spans="2:17">
      <c r="B24" s="46" t="s">
        <v>11</v>
      </c>
      <c r="C24" s="70">
        <v>2699</v>
      </c>
      <c r="D24" s="46">
        <v>81.7</v>
      </c>
      <c r="F24" s="46" t="s">
        <v>11</v>
      </c>
      <c r="G24" s="49">
        <v>7.65</v>
      </c>
      <c r="I24" s="105" t="s">
        <v>11</v>
      </c>
      <c r="J24" s="105" t="s">
        <v>88</v>
      </c>
      <c r="K24" s="108">
        <v>49.11</v>
      </c>
      <c r="M24" s="57" t="s">
        <v>88</v>
      </c>
      <c r="N24" s="58">
        <v>5785219</v>
      </c>
      <c r="O24" s="58">
        <v>5811596</v>
      </c>
      <c r="P24" s="58">
        <v>5841039</v>
      </c>
      <c r="Q24" s="59">
        <v>5877610</v>
      </c>
    </row>
    <row r="25" spans="2:17">
      <c r="B25" s="47" t="s">
        <v>13</v>
      </c>
      <c r="C25" s="72">
        <v>2006</v>
      </c>
      <c r="D25" s="42">
        <v>74</v>
      </c>
      <c r="F25" s="47" t="s">
        <v>13</v>
      </c>
      <c r="G25" s="51">
        <v>6</v>
      </c>
      <c r="I25" s="106" t="s">
        <v>13</v>
      </c>
      <c r="J25" s="42" t="s">
        <v>89</v>
      </c>
      <c r="K25" s="109">
        <v>33.89</v>
      </c>
      <c r="M25" s="61" t="s">
        <v>89</v>
      </c>
      <c r="N25" s="62">
        <v>10070627</v>
      </c>
      <c r="O25" s="62">
        <v>10038117</v>
      </c>
      <c r="P25" s="62">
        <v>10033281</v>
      </c>
      <c r="Q25" s="63">
        <v>10037261</v>
      </c>
    </row>
    <row r="26" spans="2:17">
      <c r="B26" s="46" t="s">
        <v>14</v>
      </c>
      <c r="C26" s="70">
        <v>2246</v>
      </c>
      <c r="D26" s="46">
        <v>72.7</v>
      </c>
      <c r="F26" s="46" t="s">
        <v>14</v>
      </c>
      <c r="G26" s="49">
        <v>8.3800000000000008</v>
      </c>
      <c r="I26" s="105" t="s">
        <v>14</v>
      </c>
      <c r="J26" s="105" t="s">
        <v>90</v>
      </c>
      <c r="K26" s="108">
        <v>58.18</v>
      </c>
      <c r="M26" s="57" t="s">
        <v>90</v>
      </c>
      <c r="N26" s="58">
        <v>3115840</v>
      </c>
      <c r="O26" s="58">
        <v>3146632</v>
      </c>
      <c r="P26" s="58">
        <v>3177421</v>
      </c>
      <c r="Q26" s="59">
        <v>3194176</v>
      </c>
    </row>
    <row r="27" spans="2:17">
      <c r="B27" s="47" t="s">
        <v>16</v>
      </c>
      <c r="C27" s="72">
        <v>3187</v>
      </c>
      <c r="D27" s="42">
        <v>78.7</v>
      </c>
      <c r="F27" s="47" t="s">
        <v>16</v>
      </c>
      <c r="G27" s="51">
        <v>9.5</v>
      </c>
      <c r="I27" s="106" t="s">
        <v>16</v>
      </c>
      <c r="J27" s="42" t="s">
        <v>91</v>
      </c>
      <c r="K27" s="109">
        <v>48.84</v>
      </c>
      <c r="M27" s="61" t="s">
        <v>112</v>
      </c>
      <c r="N27" s="62">
        <v>39503200</v>
      </c>
      <c r="O27" s="62">
        <v>39145060</v>
      </c>
      <c r="P27" s="62">
        <v>39040616</v>
      </c>
      <c r="Q27" s="63">
        <v>38965193</v>
      </c>
    </row>
    <row r="28" spans="2:17">
      <c r="B28" s="46" t="s">
        <v>18</v>
      </c>
      <c r="C28" s="73">
        <v>3103</v>
      </c>
      <c r="D28" s="43">
        <v>81.900000000000006</v>
      </c>
      <c r="F28" s="46" t="s">
        <v>18</v>
      </c>
      <c r="G28" s="52">
        <v>7</v>
      </c>
      <c r="I28" s="105" t="s">
        <v>18</v>
      </c>
      <c r="J28" s="43" t="s">
        <v>92</v>
      </c>
      <c r="K28" s="108">
        <v>76.67</v>
      </c>
      <c r="M28" s="57" t="s">
        <v>92</v>
      </c>
      <c r="N28" s="58">
        <v>21591299</v>
      </c>
      <c r="O28" s="58">
        <v>21830708</v>
      </c>
      <c r="P28" s="58">
        <v>22245521</v>
      </c>
      <c r="Q28" s="59">
        <v>22610726</v>
      </c>
    </row>
    <row r="29" spans="2:17">
      <c r="B29" s="47" t="s">
        <v>20</v>
      </c>
      <c r="C29" s="72">
        <v>4051</v>
      </c>
      <c r="D29" s="42">
        <v>100</v>
      </c>
      <c r="F29" s="47" t="s">
        <v>20</v>
      </c>
      <c r="G29" s="51">
        <v>8.875</v>
      </c>
      <c r="I29" s="106" t="s">
        <v>20</v>
      </c>
      <c r="J29" s="42" t="s">
        <v>93</v>
      </c>
      <c r="K29" s="109">
        <v>38.17</v>
      </c>
      <c r="M29" s="61" t="s">
        <v>20</v>
      </c>
      <c r="N29" s="62">
        <v>20104710</v>
      </c>
      <c r="O29" s="62">
        <v>19854526</v>
      </c>
      <c r="P29" s="62">
        <v>19673200</v>
      </c>
      <c r="Q29" s="63">
        <v>19571216</v>
      </c>
    </row>
    <row r="30" spans="2:17">
      <c r="B30" s="46" t="s">
        <v>31</v>
      </c>
      <c r="C30" s="73">
        <v>2223</v>
      </c>
      <c r="D30" s="43">
        <v>77.8</v>
      </c>
      <c r="F30" s="46" t="s">
        <v>31</v>
      </c>
      <c r="G30" s="52">
        <v>7</v>
      </c>
      <c r="I30" s="105" t="s">
        <v>31</v>
      </c>
      <c r="J30" s="43" t="s">
        <v>94</v>
      </c>
      <c r="K30" s="108">
        <v>79.2</v>
      </c>
      <c r="M30" s="57" t="s">
        <v>94</v>
      </c>
      <c r="N30" s="58">
        <v>12995477</v>
      </c>
      <c r="O30" s="58">
        <v>13013614</v>
      </c>
      <c r="P30" s="58">
        <v>12972091</v>
      </c>
      <c r="Q30" s="59">
        <v>12961683</v>
      </c>
    </row>
    <row r="31" spans="2:17">
      <c r="B31" s="47" t="s">
        <v>23</v>
      </c>
      <c r="C31" s="71">
        <v>3781</v>
      </c>
      <c r="D31" s="47">
        <v>99.6</v>
      </c>
      <c r="F31" s="47" t="s">
        <v>23</v>
      </c>
      <c r="G31" s="50">
        <v>8.5</v>
      </c>
      <c r="I31" s="106" t="s">
        <v>23</v>
      </c>
      <c r="J31" s="106" t="s">
        <v>91</v>
      </c>
      <c r="K31" s="109">
        <v>67</v>
      </c>
      <c r="M31" s="61" t="s">
        <v>29</v>
      </c>
      <c r="N31" s="62">
        <v>7724566</v>
      </c>
      <c r="O31" s="62">
        <v>7741433</v>
      </c>
      <c r="P31" s="62">
        <v>7784477</v>
      </c>
      <c r="Q31" s="63">
        <v>7812880</v>
      </c>
    </row>
    <row r="32" spans="2:17">
      <c r="B32" s="46" t="s">
        <v>25</v>
      </c>
      <c r="C32" s="70">
        <v>2908</v>
      </c>
      <c r="D32" s="46">
        <v>92.9</v>
      </c>
      <c r="F32" s="46" t="s">
        <v>25</v>
      </c>
      <c r="G32" s="49">
        <v>10.1</v>
      </c>
      <c r="I32" s="105" t="s">
        <v>25</v>
      </c>
      <c r="J32" s="105" t="s">
        <v>29</v>
      </c>
      <c r="K32" s="108">
        <v>31.56</v>
      </c>
      <c r="M32" s="57" t="s">
        <v>151</v>
      </c>
      <c r="N32" s="58">
        <v>670839</v>
      </c>
      <c r="O32" s="58">
        <v>669037</v>
      </c>
      <c r="P32" s="58">
        <v>670949</v>
      </c>
      <c r="Q32" s="59">
        <v>678972</v>
      </c>
    </row>
    <row r="33" spans="2:11">
      <c r="B33" s="47" t="s">
        <v>27</v>
      </c>
      <c r="C33" s="71">
        <v>2518</v>
      </c>
      <c r="D33" s="47">
        <v>76.3</v>
      </c>
      <c r="F33" s="47" t="s">
        <v>27</v>
      </c>
      <c r="G33" s="50">
        <v>7.5</v>
      </c>
      <c r="I33" s="106" t="s">
        <v>27</v>
      </c>
      <c r="J33" s="106" t="s">
        <v>92</v>
      </c>
      <c r="K33" s="109">
        <v>49.89</v>
      </c>
    </row>
    <row r="34" spans="2:11">
      <c r="B34" s="46" t="s">
        <v>29</v>
      </c>
      <c r="C34" s="73">
        <v>3139</v>
      </c>
      <c r="D34" s="43">
        <v>83.8</v>
      </c>
      <c r="F34" s="46" t="s">
        <v>29</v>
      </c>
      <c r="G34" s="52">
        <v>6</v>
      </c>
      <c r="I34" s="105" t="s">
        <v>29</v>
      </c>
      <c r="J34" s="43" t="s">
        <v>95</v>
      </c>
      <c r="K34" s="108">
        <v>52.78</v>
      </c>
    </row>
    <row r="53" spans="8:8">
      <c r="H53" t="s">
        <v>130</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4A54F-0ADF-9148-A961-4396F9D9BF73}">
  <sheetPr codeName="Sheet11">
    <tabColor theme="8" tint="0.79998168889431442"/>
  </sheetPr>
  <dimension ref="A1:L39"/>
  <sheetViews>
    <sheetView workbookViewId="0">
      <selection activeCell="B39" sqref="B39"/>
    </sheetView>
  </sheetViews>
  <sheetFormatPr baseColWidth="10" defaultColWidth="8.83203125" defaultRowHeight="15"/>
  <cols>
    <col min="1" max="1" width="16.33203125" bestFit="1" customWidth="1"/>
    <col min="2" max="2" width="14.6640625" bestFit="1" customWidth="1"/>
    <col min="3" max="3" width="26" bestFit="1" customWidth="1"/>
    <col min="4" max="4" width="22" bestFit="1" customWidth="1"/>
    <col min="5" max="5" width="25.1640625" bestFit="1" customWidth="1"/>
    <col min="6" max="6" width="24.6640625" bestFit="1" customWidth="1"/>
    <col min="7" max="8" width="31.5" bestFit="1" customWidth="1"/>
    <col min="9" max="9" width="23" bestFit="1" customWidth="1"/>
    <col min="10" max="10" width="25.5" bestFit="1" customWidth="1"/>
    <col min="11" max="11" width="43.6640625" bestFit="1" customWidth="1"/>
    <col min="12" max="12" width="10.33203125" bestFit="1" customWidth="1"/>
  </cols>
  <sheetData>
    <row r="1" spans="1:12" ht="16">
      <c r="A1" s="5" t="s">
        <v>81</v>
      </c>
      <c r="B1" s="5" t="s">
        <v>108</v>
      </c>
      <c r="C1" s="5" t="s">
        <v>154</v>
      </c>
      <c r="D1" s="5" t="s">
        <v>155</v>
      </c>
      <c r="E1" s="5" t="s">
        <v>131</v>
      </c>
      <c r="F1" s="34" t="s">
        <v>96</v>
      </c>
      <c r="G1" s="34" t="s">
        <v>97</v>
      </c>
      <c r="H1" s="34" t="s">
        <v>98</v>
      </c>
      <c r="I1" s="32" t="s">
        <v>118</v>
      </c>
      <c r="J1" s="32" t="s">
        <v>117</v>
      </c>
      <c r="K1" s="34" t="s">
        <v>156</v>
      </c>
      <c r="L1" s="5" t="s">
        <v>157</v>
      </c>
    </row>
    <row r="2" spans="1:12">
      <c r="A2" t="s">
        <v>4</v>
      </c>
      <c r="B2" t="s">
        <v>85</v>
      </c>
      <c r="C2" s="90">
        <v>29832199</v>
      </c>
      <c r="D2" s="91">
        <v>0</v>
      </c>
      <c r="E2" s="91">
        <v>8.25</v>
      </c>
      <c r="F2" s="74">
        <v>3.5</v>
      </c>
      <c r="G2" s="77">
        <v>1213.0899999999999</v>
      </c>
      <c r="H2" s="77">
        <v>1241.42</v>
      </c>
      <c r="I2" s="31">
        <v>73.2</v>
      </c>
      <c r="J2" s="93">
        <v>2473</v>
      </c>
      <c r="K2" s="74">
        <v>2.2999999999999998</v>
      </c>
      <c r="L2">
        <v>1</v>
      </c>
    </row>
    <row r="3" spans="1:12">
      <c r="A3" t="s">
        <v>6</v>
      </c>
      <c r="B3" t="s">
        <v>86</v>
      </c>
      <c r="C3" s="90">
        <v>6993450.75</v>
      </c>
      <c r="D3" s="91">
        <v>5</v>
      </c>
      <c r="E3" s="91">
        <v>6.25</v>
      </c>
      <c r="F3" s="74">
        <v>3.6</v>
      </c>
      <c r="G3" s="77">
        <v>1478.81</v>
      </c>
      <c r="H3" s="77">
        <v>1498.72</v>
      </c>
      <c r="I3" s="31">
        <v>84.6</v>
      </c>
      <c r="J3" s="93">
        <v>3467</v>
      </c>
      <c r="K3" s="74">
        <v>1.3</v>
      </c>
      <c r="L3">
        <v>4</v>
      </c>
    </row>
    <row r="4" spans="1:12">
      <c r="A4" t="s">
        <v>8</v>
      </c>
      <c r="B4" t="s">
        <v>87</v>
      </c>
      <c r="C4" s="90">
        <v>12653225.5</v>
      </c>
      <c r="D4" s="91">
        <v>4.95</v>
      </c>
      <c r="E4" s="91">
        <v>10.25</v>
      </c>
      <c r="F4" s="74">
        <v>5.3</v>
      </c>
      <c r="G4" s="77">
        <v>1166.8900000000001</v>
      </c>
      <c r="H4" s="77">
        <v>1174.1099999999999</v>
      </c>
      <c r="I4" s="31">
        <v>79</v>
      </c>
      <c r="J4" s="93">
        <v>2667</v>
      </c>
      <c r="K4" s="74">
        <v>0.6</v>
      </c>
      <c r="L4">
        <v>6</v>
      </c>
    </row>
    <row r="5" spans="1:12">
      <c r="A5" t="s">
        <v>9</v>
      </c>
      <c r="B5" t="s">
        <v>85</v>
      </c>
      <c r="C5" s="90">
        <v>29832199</v>
      </c>
      <c r="D5" s="91">
        <v>0</v>
      </c>
      <c r="E5" s="91">
        <v>8.25</v>
      </c>
      <c r="F5" s="74">
        <v>3.9</v>
      </c>
      <c r="G5" s="77">
        <v>1243.1099999999999</v>
      </c>
      <c r="H5" s="77">
        <v>1264.1600000000001</v>
      </c>
      <c r="I5" s="31">
        <v>77.099999999999994</v>
      </c>
      <c r="J5" s="93">
        <v>2550</v>
      </c>
      <c r="K5" s="74">
        <v>1.7</v>
      </c>
      <c r="L5">
        <v>11</v>
      </c>
    </row>
    <row r="6" spans="1:12">
      <c r="A6" t="s">
        <v>11</v>
      </c>
      <c r="B6" t="s">
        <v>88</v>
      </c>
      <c r="C6" s="90">
        <v>5828866</v>
      </c>
      <c r="D6" s="91">
        <v>4.55</v>
      </c>
      <c r="E6" s="91">
        <v>7.65</v>
      </c>
      <c r="F6" s="74">
        <v>4.5</v>
      </c>
      <c r="G6" s="77">
        <v>1344.9</v>
      </c>
      <c r="H6" s="77">
        <v>1375.3</v>
      </c>
      <c r="I6" s="31">
        <v>81.7</v>
      </c>
      <c r="J6" s="93">
        <v>2699</v>
      </c>
      <c r="K6" s="74">
        <v>2.2999999999999998</v>
      </c>
      <c r="L6">
        <v>3</v>
      </c>
    </row>
    <row r="7" spans="1:12">
      <c r="A7" t="s">
        <v>13</v>
      </c>
      <c r="B7" t="s">
        <v>89</v>
      </c>
      <c r="C7" s="90">
        <v>10044821.5</v>
      </c>
      <c r="D7" s="91">
        <v>4.25</v>
      </c>
      <c r="E7" s="91">
        <v>6</v>
      </c>
      <c r="F7" s="74">
        <v>5</v>
      </c>
      <c r="G7" s="77">
        <v>1229.8900000000001</v>
      </c>
      <c r="H7" s="77">
        <v>1222.92</v>
      </c>
      <c r="I7" s="31">
        <v>74</v>
      </c>
      <c r="J7" s="93">
        <v>2006</v>
      </c>
      <c r="K7" s="74">
        <v>-0.6</v>
      </c>
      <c r="L7">
        <v>14</v>
      </c>
    </row>
    <row r="8" spans="1:12">
      <c r="A8" t="s">
        <v>14</v>
      </c>
      <c r="B8" t="s">
        <v>90</v>
      </c>
      <c r="C8" s="90">
        <v>3158517.25</v>
      </c>
      <c r="D8" s="91">
        <v>0</v>
      </c>
      <c r="E8" s="91">
        <v>8.3800000000000008</v>
      </c>
      <c r="F8" s="74">
        <v>5.8</v>
      </c>
      <c r="G8" s="77">
        <v>994.65</v>
      </c>
      <c r="H8" s="77">
        <v>1045.81</v>
      </c>
      <c r="I8" s="31">
        <v>72.7</v>
      </c>
      <c r="J8" s="93">
        <v>2246</v>
      </c>
      <c r="K8" s="74">
        <v>5.0999999999999996</v>
      </c>
      <c r="L8">
        <v>12</v>
      </c>
    </row>
    <row r="9" spans="1:12">
      <c r="A9" t="s">
        <v>16</v>
      </c>
      <c r="B9" t="s">
        <v>91</v>
      </c>
      <c r="C9" s="90">
        <v>39163517.25</v>
      </c>
      <c r="D9" s="91">
        <v>13.3</v>
      </c>
      <c r="E9" s="91">
        <v>9.5</v>
      </c>
      <c r="F9" s="74">
        <v>5.6</v>
      </c>
      <c r="G9" s="77">
        <v>1314.78</v>
      </c>
      <c r="H9" s="77">
        <v>1302.51</v>
      </c>
      <c r="I9" s="31">
        <v>78.7</v>
      </c>
      <c r="J9" s="93">
        <v>3187</v>
      </c>
      <c r="K9" s="74">
        <v>-0.9</v>
      </c>
      <c r="L9">
        <v>10</v>
      </c>
    </row>
    <row r="10" spans="1:12">
      <c r="A10" t="s">
        <v>18</v>
      </c>
      <c r="B10" t="s">
        <v>92</v>
      </c>
      <c r="C10" s="90">
        <v>22069563.5</v>
      </c>
      <c r="D10" s="91">
        <v>0</v>
      </c>
      <c r="E10" s="91">
        <v>7</v>
      </c>
      <c r="F10" s="74">
        <v>2.9</v>
      </c>
      <c r="G10" s="77">
        <v>1061.05</v>
      </c>
      <c r="H10" s="77">
        <v>1047.54</v>
      </c>
      <c r="I10" s="31">
        <v>81.900000000000006</v>
      </c>
      <c r="J10" s="93">
        <v>3103</v>
      </c>
      <c r="K10" s="74">
        <v>-1.3</v>
      </c>
      <c r="L10">
        <v>9</v>
      </c>
    </row>
    <row r="11" spans="1:12">
      <c r="A11" t="s">
        <v>20</v>
      </c>
      <c r="B11" t="s">
        <v>93</v>
      </c>
      <c r="C11" s="90">
        <v>19800913</v>
      </c>
      <c r="D11" s="91">
        <v>10.9</v>
      </c>
      <c r="E11" s="91">
        <v>8.875</v>
      </c>
      <c r="F11" s="74">
        <v>4.4000000000000004</v>
      </c>
      <c r="G11" s="77">
        <v>1269.2</v>
      </c>
      <c r="H11" s="77">
        <v>1269.3599999999999</v>
      </c>
      <c r="I11" s="31">
        <v>100</v>
      </c>
      <c r="J11" s="93">
        <v>4051</v>
      </c>
      <c r="K11" s="74">
        <v>0</v>
      </c>
      <c r="L11">
        <v>15</v>
      </c>
    </row>
    <row r="12" spans="1:12">
      <c r="A12" t="s">
        <v>31</v>
      </c>
      <c r="B12" t="s">
        <v>94</v>
      </c>
      <c r="C12" s="90">
        <v>12985716.25</v>
      </c>
      <c r="D12" s="91">
        <v>3.07</v>
      </c>
      <c r="E12" s="91">
        <v>7</v>
      </c>
      <c r="F12" s="74">
        <v>3.3</v>
      </c>
      <c r="G12" s="77">
        <v>1038.3</v>
      </c>
      <c r="H12" s="77">
        <v>1017.27</v>
      </c>
      <c r="I12" s="31">
        <v>77.8</v>
      </c>
      <c r="J12" s="93">
        <v>2223</v>
      </c>
      <c r="K12" s="74">
        <v>-2</v>
      </c>
      <c r="L12">
        <v>13</v>
      </c>
    </row>
    <row r="13" spans="1:12">
      <c r="A13" t="s">
        <v>23</v>
      </c>
      <c r="B13" t="s">
        <v>91</v>
      </c>
      <c r="C13" s="90">
        <v>39163517.25</v>
      </c>
      <c r="D13" s="91">
        <v>13.3</v>
      </c>
      <c r="E13" s="91">
        <v>8.5</v>
      </c>
      <c r="F13" s="74">
        <v>4.4000000000000004</v>
      </c>
      <c r="G13" s="77">
        <v>1617.09</v>
      </c>
      <c r="H13" s="77">
        <v>1554.4</v>
      </c>
      <c r="I13" s="31">
        <v>99.6</v>
      </c>
      <c r="J13" s="93">
        <v>3781</v>
      </c>
      <c r="K13" s="74">
        <v>-3.9</v>
      </c>
      <c r="L13">
        <v>5</v>
      </c>
    </row>
    <row r="14" spans="1:12">
      <c r="A14" t="s">
        <v>25</v>
      </c>
      <c r="B14" t="s">
        <v>29</v>
      </c>
      <c r="C14" s="90">
        <v>7765839</v>
      </c>
      <c r="D14" s="91">
        <v>0</v>
      </c>
      <c r="E14" s="91">
        <v>10.1</v>
      </c>
      <c r="F14" s="74">
        <v>4.4000000000000004</v>
      </c>
      <c r="G14" s="77">
        <v>1496.7</v>
      </c>
      <c r="H14" s="77">
        <v>1481.43</v>
      </c>
      <c r="I14" s="31">
        <v>92.9</v>
      </c>
      <c r="J14" s="93">
        <v>2908</v>
      </c>
      <c r="K14" s="74">
        <v>-1</v>
      </c>
      <c r="L14">
        <v>2</v>
      </c>
    </row>
    <row r="15" spans="1:12">
      <c r="A15" t="s">
        <v>27</v>
      </c>
      <c r="B15" t="s">
        <v>92</v>
      </c>
      <c r="C15" s="90">
        <v>22069563.5</v>
      </c>
      <c r="D15" s="91">
        <v>0</v>
      </c>
      <c r="E15" s="91">
        <v>7.5</v>
      </c>
      <c r="F15" s="74">
        <v>3.8</v>
      </c>
      <c r="G15" s="77">
        <v>1085.81</v>
      </c>
      <c r="H15" s="77">
        <v>1178.93</v>
      </c>
      <c r="I15" s="31">
        <v>76.3</v>
      </c>
      <c r="J15" s="93">
        <v>2518</v>
      </c>
      <c r="K15" s="74">
        <v>8.6</v>
      </c>
      <c r="L15">
        <v>8</v>
      </c>
    </row>
    <row r="16" spans="1:12">
      <c r="A16" t="s">
        <v>158</v>
      </c>
      <c r="B16" t="s">
        <v>95</v>
      </c>
      <c r="C16" s="90">
        <v>672449.25</v>
      </c>
      <c r="D16" s="91">
        <v>10.75</v>
      </c>
      <c r="E16" s="91">
        <v>6</v>
      </c>
      <c r="F16" s="74">
        <v>3.1</v>
      </c>
      <c r="G16" s="77">
        <v>1473.12</v>
      </c>
      <c r="H16" s="77">
        <v>1440.74</v>
      </c>
      <c r="I16" s="31">
        <v>83.8</v>
      </c>
      <c r="J16" s="93">
        <v>3139</v>
      </c>
      <c r="K16" s="74">
        <v>-2.2000000000000002</v>
      </c>
      <c r="L16">
        <v>7</v>
      </c>
    </row>
    <row r="17" spans="1:10">
      <c r="B17" s="85"/>
    </row>
    <row r="18" spans="1:10">
      <c r="B18" s="85"/>
    </row>
    <row r="21" spans="1:10">
      <c r="A21" s="75" t="s">
        <v>159</v>
      </c>
      <c r="B21" t="s">
        <v>160</v>
      </c>
    </row>
    <row r="22" spans="1:10">
      <c r="A22" s="38" t="s">
        <v>4</v>
      </c>
      <c r="B22">
        <v>1</v>
      </c>
      <c r="H22" s="79"/>
      <c r="I22" s="79"/>
      <c r="J22" s="79"/>
    </row>
    <row r="23" spans="1:10">
      <c r="A23" s="38" t="s">
        <v>6</v>
      </c>
      <c r="B23">
        <v>4</v>
      </c>
      <c r="H23" s="79"/>
      <c r="I23" s="79"/>
      <c r="J23" s="79"/>
    </row>
    <row r="24" spans="1:10">
      <c r="A24" s="38" t="s">
        <v>8</v>
      </c>
      <c r="B24">
        <v>6</v>
      </c>
      <c r="H24" s="79"/>
      <c r="I24" s="79"/>
      <c r="J24" s="79"/>
    </row>
    <row r="25" spans="1:10">
      <c r="A25" s="38" t="s">
        <v>9</v>
      </c>
      <c r="B25">
        <v>11</v>
      </c>
      <c r="H25" s="79"/>
      <c r="I25" s="79"/>
      <c r="J25" s="79"/>
    </row>
    <row r="26" spans="1:10">
      <c r="A26" s="38" t="s">
        <v>11</v>
      </c>
      <c r="B26">
        <v>3</v>
      </c>
      <c r="H26" s="79"/>
      <c r="I26" s="79"/>
      <c r="J26" s="79"/>
    </row>
    <row r="27" spans="1:10">
      <c r="A27" s="38" t="s">
        <v>13</v>
      </c>
      <c r="B27">
        <v>14</v>
      </c>
      <c r="H27" s="79"/>
      <c r="I27" s="79"/>
      <c r="J27" s="79"/>
    </row>
    <row r="28" spans="1:10">
      <c r="A28" s="38" t="s">
        <v>14</v>
      </c>
      <c r="B28">
        <v>12</v>
      </c>
      <c r="H28" s="79"/>
      <c r="I28" s="79"/>
      <c r="J28" s="79"/>
    </row>
    <row r="29" spans="1:10">
      <c r="A29" s="38" t="s">
        <v>16</v>
      </c>
      <c r="B29">
        <v>10</v>
      </c>
      <c r="H29" s="79"/>
      <c r="I29" s="79"/>
      <c r="J29" s="79"/>
    </row>
    <row r="30" spans="1:10">
      <c r="A30" s="38" t="s">
        <v>18</v>
      </c>
      <c r="B30">
        <v>9</v>
      </c>
      <c r="H30" s="79"/>
      <c r="I30" s="79"/>
      <c r="J30" s="79"/>
    </row>
    <row r="31" spans="1:10">
      <c r="A31" s="38" t="s">
        <v>20</v>
      </c>
      <c r="B31">
        <v>15</v>
      </c>
      <c r="H31" s="79"/>
      <c r="I31" s="79"/>
      <c r="J31" s="79"/>
    </row>
    <row r="32" spans="1:10">
      <c r="A32" s="38" t="s">
        <v>31</v>
      </c>
      <c r="B32">
        <v>13</v>
      </c>
      <c r="H32" s="79"/>
      <c r="I32" s="79"/>
      <c r="J32" s="79"/>
    </row>
    <row r="33" spans="1:10">
      <c r="A33" s="38" t="s">
        <v>23</v>
      </c>
      <c r="B33">
        <v>5</v>
      </c>
      <c r="H33" s="79"/>
      <c r="I33" s="79"/>
      <c r="J33" s="79"/>
    </row>
    <row r="34" spans="1:10">
      <c r="A34" s="38" t="s">
        <v>25</v>
      </c>
      <c r="B34">
        <v>2</v>
      </c>
      <c r="H34" s="79"/>
      <c r="I34" s="79"/>
      <c r="J34" s="79"/>
    </row>
    <row r="35" spans="1:10">
      <c r="A35" s="38" t="s">
        <v>27</v>
      </c>
      <c r="B35">
        <v>8</v>
      </c>
      <c r="H35" s="79"/>
      <c r="I35" s="79"/>
      <c r="J35" s="79"/>
    </row>
    <row r="36" spans="1:10">
      <c r="A36" s="38" t="s">
        <v>158</v>
      </c>
      <c r="B36">
        <v>7</v>
      </c>
      <c r="H36" s="79"/>
      <c r="I36" s="79"/>
      <c r="J36" s="79"/>
    </row>
    <row r="37" spans="1:10">
      <c r="A37" s="38" t="s">
        <v>161</v>
      </c>
      <c r="B37">
        <v>120</v>
      </c>
    </row>
    <row r="38" spans="1:10">
      <c r="B38">
        <f>GETPIVOTDATA("Ranking",$A$21)</f>
        <v>120</v>
      </c>
    </row>
    <row r="39" spans="1:10">
      <c r="B39" t="str">
        <f>IF(B38=120, "Click on Any City", B38)</f>
        <v>Click on Any City</v>
      </c>
    </row>
  </sheetData>
  <phoneticPr fontId="16" type="noConversion"/>
  <pageMargins left="0.7" right="0.7" top="0.75" bottom="0.75" header="0.3" footer="0.3"/>
  <pageSetup orientation="portrait"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F16C6-D454-406B-93D5-A30ED93DB6F0}">
  <sheetPr codeName="Sheet9"/>
  <dimension ref="B1:N53"/>
  <sheetViews>
    <sheetView workbookViewId="0">
      <selection activeCell="D1" sqref="D1"/>
    </sheetView>
  </sheetViews>
  <sheetFormatPr baseColWidth="10" defaultColWidth="8.83203125" defaultRowHeight="15"/>
  <cols>
    <col min="1" max="2" width="12.6640625" bestFit="1" customWidth="1"/>
    <col min="3" max="3" width="26.6640625" bestFit="1" customWidth="1"/>
    <col min="4" max="4" width="26.1640625" bestFit="1" customWidth="1"/>
    <col min="5" max="5" width="18" bestFit="1" customWidth="1"/>
    <col min="6" max="6" width="21.6640625" bestFit="1" customWidth="1"/>
    <col min="7" max="7" width="22" bestFit="1" customWidth="1"/>
    <col min="8" max="8" width="12.6640625" bestFit="1" customWidth="1"/>
    <col min="9" max="9" width="19.1640625" bestFit="1" customWidth="1"/>
    <col min="10" max="11" width="28.5" bestFit="1" customWidth="1"/>
    <col min="12" max="12" width="29" bestFit="1" customWidth="1"/>
    <col min="13" max="13" width="20.6640625" bestFit="1" customWidth="1"/>
    <col min="14" max="14" width="24.33203125" bestFit="1" customWidth="1"/>
    <col min="17" max="17" width="10" bestFit="1" customWidth="1"/>
  </cols>
  <sheetData>
    <row r="1" spans="2:14" ht="32">
      <c r="B1" s="40" t="s">
        <v>81</v>
      </c>
      <c r="C1" s="39" t="s">
        <v>80</v>
      </c>
      <c r="D1" s="35" t="s">
        <v>109</v>
      </c>
      <c r="E1" s="40" t="s">
        <v>128</v>
      </c>
      <c r="F1" s="40" t="s">
        <v>129</v>
      </c>
      <c r="H1" s="40" t="s">
        <v>81</v>
      </c>
      <c r="I1" s="39" t="s">
        <v>80</v>
      </c>
      <c r="J1" s="39" t="s">
        <v>97</v>
      </c>
      <c r="K1" s="39" t="s">
        <v>98</v>
      </c>
      <c r="L1" s="39" t="s">
        <v>117</v>
      </c>
      <c r="M1" s="39" t="s">
        <v>118</v>
      </c>
      <c r="N1" s="39" t="s">
        <v>131</v>
      </c>
    </row>
    <row r="2" spans="2:14">
      <c r="B2" s="110" t="s">
        <v>4</v>
      </c>
      <c r="C2" s="111" t="s">
        <v>85</v>
      </c>
      <c r="D2" s="112">
        <v>1190</v>
      </c>
      <c r="E2" s="113">
        <v>0.2</v>
      </c>
      <c r="F2" s="110">
        <v>48.03</v>
      </c>
      <c r="H2" s="110" t="s">
        <v>4</v>
      </c>
      <c r="I2" s="111" t="s">
        <v>85</v>
      </c>
      <c r="J2" s="119">
        <v>1213.0899999999999</v>
      </c>
      <c r="K2" s="119">
        <v>1241.42</v>
      </c>
      <c r="L2" s="120" t="s">
        <v>132</v>
      </c>
      <c r="M2" s="111">
        <v>73.2</v>
      </c>
      <c r="N2" s="111">
        <v>8.25</v>
      </c>
    </row>
    <row r="3" spans="2:14">
      <c r="B3" s="114" t="s">
        <v>6</v>
      </c>
      <c r="C3" s="115" t="s">
        <v>86</v>
      </c>
      <c r="D3" s="116">
        <v>622</v>
      </c>
      <c r="E3" s="113">
        <v>49.2</v>
      </c>
      <c r="F3" s="114">
        <v>87.1</v>
      </c>
      <c r="H3" s="114" t="s">
        <v>6</v>
      </c>
      <c r="I3" s="115" t="s">
        <v>86</v>
      </c>
      <c r="J3" s="121">
        <v>1478.81</v>
      </c>
      <c r="K3" s="121">
        <v>1498.72</v>
      </c>
      <c r="L3" s="122" t="s">
        <v>133</v>
      </c>
      <c r="M3" s="115">
        <v>84.6</v>
      </c>
      <c r="N3" s="115">
        <v>6.25</v>
      </c>
    </row>
    <row r="4" spans="2:14">
      <c r="B4" s="110" t="s">
        <v>8</v>
      </c>
      <c r="C4" s="111" t="s">
        <v>87</v>
      </c>
      <c r="D4" s="112">
        <v>3885</v>
      </c>
      <c r="E4" s="113">
        <v>38.799999999999997</v>
      </c>
      <c r="F4" s="110">
        <v>50.35</v>
      </c>
      <c r="H4" s="110" t="s">
        <v>8</v>
      </c>
      <c r="I4" s="111" t="s">
        <v>87</v>
      </c>
      <c r="J4" s="119">
        <v>1166.8900000000001</v>
      </c>
      <c r="K4" s="119">
        <v>1174.1099999999999</v>
      </c>
      <c r="L4" s="120" t="s">
        <v>134</v>
      </c>
      <c r="M4" s="111">
        <v>79</v>
      </c>
      <c r="N4" s="111">
        <v>10.25</v>
      </c>
    </row>
    <row r="5" spans="2:14">
      <c r="B5" s="114" t="s">
        <v>9</v>
      </c>
      <c r="C5" s="115" t="s">
        <v>85</v>
      </c>
      <c r="D5" s="112">
        <v>1398</v>
      </c>
      <c r="E5" s="113">
        <v>1.7</v>
      </c>
      <c r="F5" s="114">
        <v>58.24</v>
      </c>
      <c r="H5" s="114" t="s">
        <v>9</v>
      </c>
      <c r="I5" s="115" t="s">
        <v>85</v>
      </c>
      <c r="J5" s="121">
        <v>1243.1099999999999</v>
      </c>
      <c r="K5" s="121">
        <v>1264.1600000000001</v>
      </c>
      <c r="L5" s="122" t="s">
        <v>135</v>
      </c>
      <c r="M5" s="115">
        <v>77.099999999999994</v>
      </c>
      <c r="N5" s="115">
        <v>8.25</v>
      </c>
    </row>
    <row r="6" spans="2:14">
      <c r="B6" s="110" t="s">
        <v>11</v>
      </c>
      <c r="C6" s="111" t="s">
        <v>88</v>
      </c>
      <c r="D6" s="116">
        <v>925</v>
      </c>
      <c r="E6" s="113">
        <v>49</v>
      </c>
      <c r="F6" s="110">
        <v>49.11</v>
      </c>
      <c r="H6" s="110" t="s">
        <v>11</v>
      </c>
      <c r="I6" s="111" t="s">
        <v>88</v>
      </c>
      <c r="J6" s="119">
        <v>1344.9</v>
      </c>
      <c r="K6" s="119">
        <v>1375.3</v>
      </c>
      <c r="L6" s="120" t="s">
        <v>136</v>
      </c>
      <c r="M6" s="111">
        <v>81.7</v>
      </c>
      <c r="N6" s="111">
        <v>7.65</v>
      </c>
    </row>
    <row r="7" spans="2:14">
      <c r="B7" s="114" t="s">
        <v>13</v>
      </c>
      <c r="C7" s="117" t="s">
        <v>89</v>
      </c>
      <c r="D7" s="112">
        <v>4508</v>
      </c>
      <c r="E7" s="113">
        <v>45</v>
      </c>
      <c r="F7" s="114">
        <v>33.89</v>
      </c>
      <c r="H7" s="114" t="s">
        <v>13</v>
      </c>
      <c r="I7" s="117" t="s">
        <v>89</v>
      </c>
      <c r="J7" s="123">
        <v>1229.8900000000001</v>
      </c>
      <c r="K7" s="123">
        <v>1222.92</v>
      </c>
      <c r="L7" s="124" t="s">
        <v>137</v>
      </c>
      <c r="M7" s="117">
        <v>74</v>
      </c>
      <c r="N7" s="117">
        <v>6</v>
      </c>
    </row>
    <row r="8" spans="2:14">
      <c r="B8" s="110" t="s">
        <v>14</v>
      </c>
      <c r="C8" s="111" t="s">
        <v>90</v>
      </c>
      <c r="D8" s="116">
        <v>657</v>
      </c>
      <c r="E8" s="113">
        <v>0.2</v>
      </c>
      <c r="F8" s="110">
        <v>58.18</v>
      </c>
      <c r="H8" s="110" t="s">
        <v>14</v>
      </c>
      <c r="I8" s="111" t="s">
        <v>90</v>
      </c>
      <c r="J8" s="119">
        <v>994.65</v>
      </c>
      <c r="K8" s="119">
        <v>1045.81</v>
      </c>
      <c r="L8" s="120" t="s">
        <v>138</v>
      </c>
      <c r="M8" s="111">
        <v>72.7</v>
      </c>
      <c r="N8" s="111">
        <v>8.3800000000000008</v>
      </c>
    </row>
    <row r="9" spans="2:14">
      <c r="B9" s="114" t="s">
        <v>16</v>
      </c>
      <c r="C9" s="117" t="s">
        <v>91</v>
      </c>
      <c r="D9" s="112">
        <v>5206</v>
      </c>
      <c r="E9" s="113">
        <v>0</v>
      </c>
      <c r="F9" s="114">
        <v>48.84</v>
      </c>
      <c r="H9" s="114" t="s">
        <v>16</v>
      </c>
      <c r="I9" s="117" t="s">
        <v>91</v>
      </c>
      <c r="J9" s="123">
        <v>1314.78</v>
      </c>
      <c r="K9" s="123">
        <v>1302.51</v>
      </c>
      <c r="L9" s="124" t="s">
        <v>139</v>
      </c>
      <c r="M9" s="117">
        <v>78.7</v>
      </c>
      <c r="N9" s="117">
        <v>9.5</v>
      </c>
    </row>
    <row r="10" spans="2:14">
      <c r="B10" s="110" t="s">
        <v>18</v>
      </c>
      <c r="C10" s="118" t="s">
        <v>92</v>
      </c>
      <c r="D10" s="112">
        <v>2488</v>
      </c>
      <c r="E10" s="113">
        <v>0</v>
      </c>
      <c r="F10" s="110">
        <v>76.67</v>
      </c>
      <c r="H10" s="110" t="s">
        <v>18</v>
      </c>
      <c r="I10" s="118" t="s">
        <v>92</v>
      </c>
      <c r="J10" s="125">
        <v>1061.05</v>
      </c>
      <c r="K10" s="125">
        <v>1047.54</v>
      </c>
      <c r="L10" s="126" t="s">
        <v>140</v>
      </c>
      <c r="M10" s="118">
        <v>81.900000000000006</v>
      </c>
      <c r="N10" s="118">
        <v>7</v>
      </c>
    </row>
    <row r="11" spans="2:14">
      <c r="B11" s="114" t="s">
        <v>20</v>
      </c>
      <c r="C11" s="117" t="s">
        <v>93</v>
      </c>
      <c r="D11" s="112">
        <v>6192</v>
      </c>
      <c r="E11" s="113">
        <v>29.8</v>
      </c>
      <c r="F11" s="114">
        <v>38.17</v>
      </c>
      <c r="H11" s="114" t="s">
        <v>20</v>
      </c>
      <c r="I11" s="117" t="s">
        <v>93</v>
      </c>
      <c r="J11" s="123">
        <v>1269.2</v>
      </c>
      <c r="K11" s="123">
        <v>1269.3599999999999</v>
      </c>
      <c r="L11" s="124" t="s">
        <v>141</v>
      </c>
      <c r="M11" s="117">
        <v>100</v>
      </c>
      <c r="N11" s="117">
        <v>8.875</v>
      </c>
    </row>
    <row r="12" spans="2:14">
      <c r="B12" s="110" t="s">
        <v>31</v>
      </c>
      <c r="C12" s="118" t="s">
        <v>94</v>
      </c>
      <c r="D12" s="112">
        <v>11012</v>
      </c>
      <c r="E12" s="113">
        <v>44.1</v>
      </c>
      <c r="F12" s="110">
        <v>79.2</v>
      </c>
      <c r="H12" s="110" t="s">
        <v>31</v>
      </c>
      <c r="I12" s="118" t="s">
        <v>94</v>
      </c>
      <c r="J12" s="125">
        <v>1038.3</v>
      </c>
      <c r="K12" s="125">
        <v>1017.27</v>
      </c>
      <c r="L12" s="126" t="s">
        <v>142</v>
      </c>
      <c r="M12" s="118">
        <v>77.8</v>
      </c>
      <c r="N12" s="118">
        <v>7</v>
      </c>
    </row>
    <row r="13" spans="2:14">
      <c r="B13" s="114" t="s">
        <v>23</v>
      </c>
      <c r="C13" s="115" t="s">
        <v>91</v>
      </c>
      <c r="D13" s="112">
        <v>5492</v>
      </c>
      <c r="E13" s="113">
        <v>0</v>
      </c>
      <c r="F13" s="114">
        <v>67</v>
      </c>
      <c r="H13" s="114" t="s">
        <v>23</v>
      </c>
      <c r="I13" s="115" t="s">
        <v>91</v>
      </c>
      <c r="J13" s="121">
        <v>1617.09</v>
      </c>
      <c r="K13" s="121">
        <v>1554.4</v>
      </c>
      <c r="L13" s="122" t="s">
        <v>143</v>
      </c>
      <c r="M13" s="115">
        <v>99.6</v>
      </c>
      <c r="N13" s="115">
        <v>8.5</v>
      </c>
    </row>
    <row r="14" spans="2:14">
      <c r="B14" s="110" t="s">
        <v>25</v>
      </c>
      <c r="C14" s="111" t="s">
        <v>29</v>
      </c>
      <c r="D14" s="112">
        <v>1865</v>
      </c>
      <c r="E14" s="113">
        <v>6.3</v>
      </c>
      <c r="F14" s="110">
        <v>31.56</v>
      </c>
      <c r="H14" s="110" t="s">
        <v>25</v>
      </c>
      <c r="I14" s="111" t="s">
        <v>29</v>
      </c>
      <c r="J14" s="119">
        <v>1496.7</v>
      </c>
      <c r="K14" s="119">
        <v>1481.43</v>
      </c>
      <c r="L14" s="120" t="s">
        <v>144</v>
      </c>
      <c r="M14" s="111">
        <v>92.9</v>
      </c>
      <c r="N14" s="111">
        <v>10.1</v>
      </c>
    </row>
    <row r="15" spans="2:14">
      <c r="B15" s="114" t="s">
        <v>27</v>
      </c>
      <c r="C15" s="115" t="s">
        <v>92</v>
      </c>
      <c r="D15" s="112">
        <v>2598</v>
      </c>
      <c r="E15" s="113">
        <v>0</v>
      </c>
      <c r="F15" s="114">
        <v>49.89</v>
      </c>
      <c r="H15" s="114" t="s">
        <v>27</v>
      </c>
      <c r="I15" s="115" t="s">
        <v>92</v>
      </c>
      <c r="J15" s="121">
        <v>1085.81</v>
      </c>
      <c r="K15" s="121">
        <v>1178.93</v>
      </c>
      <c r="L15" s="122" t="s">
        <v>145</v>
      </c>
      <c r="M15" s="115">
        <v>76.3</v>
      </c>
      <c r="N15" s="115">
        <v>7.5</v>
      </c>
    </row>
    <row r="16" spans="2:14">
      <c r="B16" s="110" t="s">
        <v>29</v>
      </c>
      <c r="C16" s="118" t="s">
        <v>95</v>
      </c>
      <c r="D16" s="112">
        <v>1121</v>
      </c>
      <c r="E16" s="113">
        <v>13.7</v>
      </c>
      <c r="F16" s="110">
        <v>52.78</v>
      </c>
      <c r="H16" s="110" t="s">
        <v>29</v>
      </c>
      <c r="I16" s="118" t="s">
        <v>95</v>
      </c>
      <c r="J16" s="125">
        <v>1473.12</v>
      </c>
      <c r="K16" s="125">
        <v>1440.74</v>
      </c>
      <c r="L16" s="126" t="s">
        <v>146</v>
      </c>
      <c r="M16" s="118">
        <v>83.8</v>
      </c>
      <c r="N16" s="118">
        <v>6</v>
      </c>
    </row>
    <row r="19" spans="2:13">
      <c r="B19" s="39" t="s">
        <v>81</v>
      </c>
      <c r="C19" s="39" t="s">
        <v>117</v>
      </c>
      <c r="D19" s="39" t="s">
        <v>118</v>
      </c>
      <c r="F19" s="39" t="s">
        <v>81</v>
      </c>
      <c r="G19" s="48" t="s">
        <v>131</v>
      </c>
      <c r="I19" s="53" t="s">
        <v>108</v>
      </c>
      <c r="J19" s="54" t="s">
        <v>147</v>
      </c>
      <c r="K19" s="54" t="s">
        <v>148</v>
      </c>
      <c r="L19" s="54" t="s">
        <v>149</v>
      </c>
      <c r="M19" s="55" t="s">
        <v>150</v>
      </c>
    </row>
    <row r="20" spans="2:13">
      <c r="B20" s="46" t="s">
        <v>4</v>
      </c>
      <c r="C20" s="70">
        <v>2473</v>
      </c>
      <c r="D20" s="46">
        <v>73.2</v>
      </c>
      <c r="F20" s="46" t="s">
        <v>4</v>
      </c>
      <c r="G20" s="49">
        <v>8.25</v>
      </c>
      <c r="I20" s="57" t="s">
        <v>85</v>
      </c>
      <c r="J20" s="58">
        <v>29234361</v>
      </c>
      <c r="K20" s="58">
        <v>29561286</v>
      </c>
      <c r="L20" s="58">
        <v>30029848</v>
      </c>
      <c r="M20" s="59">
        <v>30503301</v>
      </c>
    </row>
    <row r="21" spans="2:13">
      <c r="B21" s="47" t="s">
        <v>6</v>
      </c>
      <c r="C21" s="71">
        <v>3467</v>
      </c>
      <c r="D21" s="47">
        <v>84.6</v>
      </c>
      <c r="F21" s="47" t="s">
        <v>6</v>
      </c>
      <c r="G21" s="50">
        <v>6.25</v>
      </c>
      <c r="I21" s="61" t="s">
        <v>86</v>
      </c>
      <c r="J21" s="62">
        <v>6997713</v>
      </c>
      <c r="K21" s="62">
        <v>6991951</v>
      </c>
      <c r="L21" s="62">
        <v>6982740</v>
      </c>
      <c r="M21" s="63">
        <v>7001399</v>
      </c>
    </row>
    <row r="22" spans="2:13">
      <c r="B22" s="46" t="s">
        <v>8</v>
      </c>
      <c r="C22" s="70">
        <v>2667</v>
      </c>
      <c r="D22" s="46">
        <v>79</v>
      </c>
      <c r="F22" s="46" t="s">
        <v>8</v>
      </c>
      <c r="G22" s="49">
        <v>10.25</v>
      </c>
      <c r="I22" s="57" t="s">
        <v>111</v>
      </c>
      <c r="J22" s="58">
        <v>12790357</v>
      </c>
      <c r="K22" s="58">
        <v>12690341</v>
      </c>
      <c r="L22" s="58">
        <v>12582515</v>
      </c>
      <c r="M22" s="59">
        <v>12549689</v>
      </c>
    </row>
    <row r="23" spans="2:13">
      <c r="B23" s="47" t="s">
        <v>9</v>
      </c>
      <c r="C23" s="71">
        <v>2550</v>
      </c>
      <c r="D23" s="47">
        <v>77.099999999999994</v>
      </c>
      <c r="F23" s="47" t="s">
        <v>9</v>
      </c>
      <c r="G23" s="50">
        <v>8.25</v>
      </c>
      <c r="I23" s="61" t="s">
        <v>85</v>
      </c>
      <c r="J23" s="62">
        <v>29234361</v>
      </c>
      <c r="K23" s="62">
        <v>29561286</v>
      </c>
      <c r="L23" s="62">
        <v>30029848</v>
      </c>
      <c r="M23" s="63">
        <v>30503301</v>
      </c>
    </row>
    <row r="24" spans="2:13">
      <c r="B24" s="46" t="s">
        <v>11</v>
      </c>
      <c r="C24" s="70">
        <v>2699</v>
      </c>
      <c r="D24" s="46">
        <v>81.7</v>
      </c>
      <c r="F24" s="46" t="s">
        <v>11</v>
      </c>
      <c r="G24" s="49">
        <v>7.65</v>
      </c>
      <c r="I24" s="57" t="s">
        <v>88</v>
      </c>
      <c r="J24" s="58">
        <v>5785219</v>
      </c>
      <c r="K24" s="58">
        <v>5811596</v>
      </c>
      <c r="L24" s="58">
        <v>5841039</v>
      </c>
      <c r="M24" s="59">
        <v>5877610</v>
      </c>
    </row>
    <row r="25" spans="2:13">
      <c r="B25" s="47" t="s">
        <v>13</v>
      </c>
      <c r="C25" s="72">
        <v>2006</v>
      </c>
      <c r="D25" s="42">
        <v>74</v>
      </c>
      <c r="F25" s="47" t="s">
        <v>13</v>
      </c>
      <c r="G25" s="51">
        <v>6</v>
      </c>
      <c r="I25" s="61" t="s">
        <v>89</v>
      </c>
      <c r="J25" s="62">
        <v>10070627</v>
      </c>
      <c r="K25" s="62">
        <v>10038117</v>
      </c>
      <c r="L25" s="62">
        <v>10033281</v>
      </c>
      <c r="M25" s="63">
        <v>10037261</v>
      </c>
    </row>
    <row r="26" spans="2:13">
      <c r="B26" s="46" t="s">
        <v>14</v>
      </c>
      <c r="C26" s="70">
        <v>2246</v>
      </c>
      <c r="D26" s="46">
        <v>72.7</v>
      </c>
      <c r="F26" s="46" t="s">
        <v>14</v>
      </c>
      <c r="G26" s="49">
        <v>8.3800000000000008</v>
      </c>
      <c r="I26" s="57" t="s">
        <v>90</v>
      </c>
      <c r="J26" s="58">
        <v>3115840</v>
      </c>
      <c r="K26" s="58">
        <v>3146632</v>
      </c>
      <c r="L26" s="58">
        <v>3177421</v>
      </c>
      <c r="M26" s="59">
        <v>3194176</v>
      </c>
    </row>
    <row r="27" spans="2:13">
      <c r="B27" s="47" t="s">
        <v>16</v>
      </c>
      <c r="C27" s="72">
        <v>3187</v>
      </c>
      <c r="D27" s="42">
        <v>78.7</v>
      </c>
      <c r="F27" s="47" t="s">
        <v>16</v>
      </c>
      <c r="G27" s="51">
        <v>9.5</v>
      </c>
      <c r="I27" s="61" t="s">
        <v>112</v>
      </c>
      <c r="J27" s="62">
        <v>39503200</v>
      </c>
      <c r="K27" s="62">
        <v>39145060</v>
      </c>
      <c r="L27" s="62">
        <v>39040616</v>
      </c>
      <c r="M27" s="63">
        <v>38965193</v>
      </c>
    </row>
    <row r="28" spans="2:13">
      <c r="B28" s="46" t="s">
        <v>18</v>
      </c>
      <c r="C28" s="73">
        <v>3103</v>
      </c>
      <c r="D28" s="43">
        <v>81.900000000000006</v>
      </c>
      <c r="F28" s="46" t="s">
        <v>18</v>
      </c>
      <c r="G28" s="52">
        <v>7</v>
      </c>
      <c r="I28" s="57" t="s">
        <v>92</v>
      </c>
      <c r="J28" s="58">
        <v>21591299</v>
      </c>
      <c r="K28" s="58">
        <v>21830708</v>
      </c>
      <c r="L28" s="58">
        <v>22245521</v>
      </c>
      <c r="M28" s="59">
        <v>22610726</v>
      </c>
    </row>
    <row r="29" spans="2:13">
      <c r="B29" s="47" t="s">
        <v>20</v>
      </c>
      <c r="C29" s="72">
        <v>4051</v>
      </c>
      <c r="D29" s="42">
        <v>100</v>
      </c>
      <c r="F29" s="47" t="s">
        <v>20</v>
      </c>
      <c r="G29" s="51">
        <v>8.875</v>
      </c>
      <c r="I29" s="61" t="s">
        <v>20</v>
      </c>
      <c r="J29" s="62">
        <v>20104710</v>
      </c>
      <c r="K29" s="62">
        <v>19854526</v>
      </c>
      <c r="L29" s="62">
        <v>19673200</v>
      </c>
      <c r="M29" s="63">
        <v>19571216</v>
      </c>
    </row>
    <row r="30" spans="2:13">
      <c r="B30" s="46" t="s">
        <v>31</v>
      </c>
      <c r="C30" s="73">
        <v>2223</v>
      </c>
      <c r="D30" s="43">
        <v>77.8</v>
      </c>
      <c r="F30" s="46" t="s">
        <v>31</v>
      </c>
      <c r="G30" s="52">
        <v>7</v>
      </c>
      <c r="I30" s="57" t="s">
        <v>94</v>
      </c>
      <c r="J30" s="58">
        <v>12995477</v>
      </c>
      <c r="K30" s="58">
        <v>13013614</v>
      </c>
      <c r="L30" s="58">
        <v>12972091</v>
      </c>
      <c r="M30" s="59">
        <v>12961683</v>
      </c>
    </row>
    <row r="31" spans="2:13">
      <c r="B31" s="47" t="s">
        <v>23</v>
      </c>
      <c r="C31" s="71">
        <v>3781</v>
      </c>
      <c r="D31" s="47">
        <v>99.6</v>
      </c>
      <c r="F31" s="47" t="s">
        <v>23</v>
      </c>
      <c r="G31" s="50">
        <v>8.5</v>
      </c>
      <c r="I31" s="61" t="s">
        <v>29</v>
      </c>
      <c r="J31" s="62">
        <v>7724566</v>
      </c>
      <c r="K31" s="62">
        <v>7741433</v>
      </c>
      <c r="L31" s="62">
        <v>7784477</v>
      </c>
      <c r="M31" s="63">
        <v>7812880</v>
      </c>
    </row>
    <row r="32" spans="2:13">
      <c r="B32" s="46" t="s">
        <v>25</v>
      </c>
      <c r="C32" s="70">
        <v>2908</v>
      </c>
      <c r="D32" s="46">
        <v>92.9</v>
      </c>
      <c r="F32" s="46" t="s">
        <v>25</v>
      </c>
      <c r="G32" s="49">
        <v>10.1</v>
      </c>
      <c r="I32" s="57" t="s">
        <v>151</v>
      </c>
      <c r="J32" s="58">
        <v>670839</v>
      </c>
      <c r="K32" s="58">
        <v>669037</v>
      </c>
      <c r="L32" s="58">
        <v>670949</v>
      </c>
      <c r="M32" s="59">
        <v>678972</v>
      </c>
    </row>
    <row r="33" spans="2:7">
      <c r="B33" s="47" t="s">
        <v>27</v>
      </c>
      <c r="C33" s="71">
        <v>2518</v>
      </c>
      <c r="D33" s="47">
        <v>76.3</v>
      </c>
      <c r="F33" s="47" t="s">
        <v>27</v>
      </c>
      <c r="G33" s="50">
        <v>7.5</v>
      </c>
    </row>
    <row r="34" spans="2:7">
      <c r="B34" s="46" t="s">
        <v>29</v>
      </c>
      <c r="C34" s="73">
        <v>3139</v>
      </c>
      <c r="D34" s="43">
        <v>83.8</v>
      </c>
      <c r="F34" s="46" t="s">
        <v>29</v>
      </c>
      <c r="G34" s="52">
        <v>6</v>
      </c>
    </row>
    <row r="37" spans="2:7">
      <c r="B37" s="39" t="s">
        <v>81</v>
      </c>
      <c r="C37" s="39" t="s">
        <v>80</v>
      </c>
      <c r="D37" s="107" t="s">
        <v>129</v>
      </c>
    </row>
    <row r="38" spans="2:7">
      <c r="B38" s="105" t="s">
        <v>4</v>
      </c>
      <c r="C38" s="105" t="s">
        <v>85</v>
      </c>
      <c r="D38" s="108">
        <v>48.03</v>
      </c>
    </row>
    <row r="39" spans="2:7">
      <c r="B39" s="106" t="s">
        <v>6</v>
      </c>
      <c r="C39" s="106" t="s">
        <v>86</v>
      </c>
      <c r="D39" s="109">
        <v>87.1</v>
      </c>
    </row>
    <row r="40" spans="2:7">
      <c r="B40" s="105" t="s">
        <v>8</v>
      </c>
      <c r="C40" s="105" t="s">
        <v>87</v>
      </c>
      <c r="D40" s="108">
        <v>50.35</v>
      </c>
    </row>
    <row r="41" spans="2:7">
      <c r="B41" s="106" t="s">
        <v>9</v>
      </c>
      <c r="C41" s="106" t="s">
        <v>85</v>
      </c>
      <c r="D41" s="109">
        <v>58.24</v>
      </c>
    </row>
    <row r="42" spans="2:7">
      <c r="B42" s="105" t="s">
        <v>11</v>
      </c>
      <c r="C42" s="105" t="s">
        <v>88</v>
      </c>
      <c r="D42" s="108">
        <v>49.11</v>
      </c>
    </row>
    <row r="43" spans="2:7">
      <c r="B43" s="106" t="s">
        <v>13</v>
      </c>
      <c r="C43" s="42" t="s">
        <v>89</v>
      </c>
      <c r="D43" s="109">
        <v>33.89</v>
      </c>
    </row>
    <row r="44" spans="2:7">
      <c r="B44" s="105" t="s">
        <v>14</v>
      </c>
      <c r="C44" s="105" t="s">
        <v>90</v>
      </c>
      <c r="D44" s="108">
        <v>58.18</v>
      </c>
    </row>
    <row r="45" spans="2:7">
      <c r="B45" s="106" t="s">
        <v>16</v>
      </c>
      <c r="C45" s="42" t="s">
        <v>91</v>
      </c>
      <c r="D45" s="109">
        <v>48.84</v>
      </c>
    </row>
    <row r="46" spans="2:7">
      <c r="B46" s="105" t="s">
        <v>18</v>
      </c>
      <c r="C46" s="43" t="s">
        <v>92</v>
      </c>
      <c r="D46" s="108">
        <v>76.67</v>
      </c>
    </row>
    <row r="47" spans="2:7">
      <c r="B47" s="106" t="s">
        <v>20</v>
      </c>
      <c r="C47" s="42" t="s">
        <v>93</v>
      </c>
      <c r="D47" s="109">
        <v>38.17</v>
      </c>
    </row>
    <row r="48" spans="2:7">
      <c r="B48" s="105" t="s">
        <v>31</v>
      </c>
      <c r="C48" s="43" t="s">
        <v>94</v>
      </c>
      <c r="D48" s="108">
        <v>79.2</v>
      </c>
    </row>
    <row r="49" spans="2:8">
      <c r="B49" s="106" t="s">
        <v>23</v>
      </c>
      <c r="C49" s="106" t="s">
        <v>91</v>
      </c>
      <c r="D49" s="109">
        <v>67</v>
      </c>
    </row>
    <row r="50" spans="2:8">
      <c r="B50" s="105" t="s">
        <v>25</v>
      </c>
      <c r="C50" s="105" t="s">
        <v>29</v>
      </c>
      <c r="D50" s="108">
        <v>31.56</v>
      </c>
    </row>
    <row r="51" spans="2:8">
      <c r="B51" s="106" t="s">
        <v>27</v>
      </c>
      <c r="C51" s="106" t="s">
        <v>92</v>
      </c>
      <c r="D51" s="109">
        <v>49.89</v>
      </c>
    </row>
    <row r="52" spans="2:8">
      <c r="B52" s="105" t="s">
        <v>29</v>
      </c>
      <c r="C52" s="43" t="s">
        <v>95</v>
      </c>
      <c r="D52" s="108">
        <v>52.78</v>
      </c>
    </row>
    <row r="53" spans="2:8">
      <c r="H53" t="s">
        <v>130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3FD3B-B7B3-4727-94E2-8110C81B3882}">
  <sheetPr codeName="Sheet10"/>
  <dimension ref="A1:G47"/>
  <sheetViews>
    <sheetView workbookViewId="0">
      <selection activeCell="B36" sqref="B36"/>
    </sheetView>
  </sheetViews>
  <sheetFormatPr baseColWidth="10" defaultColWidth="11.5" defaultRowHeight="15"/>
  <cols>
    <col min="1" max="1" width="16.33203125" bestFit="1" customWidth="1"/>
    <col min="2" max="2" width="31.1640625" bestFit="1" customWidth="1"/>
    <col min="3" max="5" width="9.5" bestFit="1" customWidth="1"/>
    <col min="6" max="6" width="45.1640625" bestFit="1" customWidth="1"/>
  </cols>
  <sheetData>
    <row r="1" spans="1:7">
      <c r="A1" s="53" t="s">
        <v>108</v>
      </c>
      <c r="B1" s="54" t="s">
        <v>147</v>
      </c>
      <c r="C1" s="54" t="s">
        <v>148</v>
      </c>
      <c r="D1" s="54" t="s">
        <v>149</v>
      </c>
      <c r="E1" s="55" t="s">
        <v>150</v>
      </c>
      <c r="F1" s="56" t="s">
        <v>152</v>
      </c>
      <c r="G1" t="s">
        <v>34</v>
      </c>
    </row>
    <row r="2" spans="1:7">
      <c r="A2" s="61" t="s">
        <v>112</v>
      </c>
      <c r="B2" s="62">
        <v>39503200</v>
      </c>
      <c r="C2" s="62">
        <v>39145060</v>
      </c>
      <c r="D2" s="62">
        <v>39040616</v>
      </c>
      <c r="E2" s="63">
        <v>38965193</v>
      </c>
      <c r="F2" s="89">
        <v>-1.4E-2</v>
      </c>
      <c r="G2" s="63">
        <f>AVERAGE(Table13[[#This Row],[2020]:[2023]])</f>
        <v>39163517.25</v>
      </c>
    </row>
    <row r="3" spans="1:7">
      <c r="A3" s="57" t="s">
        <v>88</v>
      </c>
      <c r="B3" s="58">
        <v>5785219</v>
      </c>
      <c r="C3" s="58">
        <v>5811596</v>
      </c>
      <c r="D3" s="58">
        <v>5841039</v>
      </c>
      <c r="E3" s="59">
        <v>5877610</v>
      </c>
      <c r="F3" s="65">
        <v>1.7999999999999999E-2</v>
      </c>
      <c r="G3" s="59">
        <f>AVERAGE(Table13[[#This Row],[2020]:[2023]])</f>
        <v>5828866</v>
      </c>
    </row>
    <row r="4" spans="1:7">
      <c r="A4" s="57" t="s">
        <v>151</v>
      </c>
      <c r="B4" s="58">
        <v>670839</v>
      </c>
      <c r="C4" s="58">
        <v>669037</v>
      </c>
      <c r="D4" s="58">
        <v>670949</v>
      </c>
      <c r="E4" s="59">
        <v>678972</v>
      </c>
      <c r="F4" s="65">
        <v>-1.4999999999999999E-2</v>
      </c>
      <c r="G4" s="59">
        <f>AVERAGE(Table13[[#This Row],[2020]:[2023]])</f>
        <v>672449.25</v>
      </c>
    </row>
    <row r="5" spans="1:7">
      <c r="A5" s="57" t="s">
        <v>92</v>
      </c>
      <c r="B5" s="58">
        <v>21591299</v>
      </c>
      <c r="C5" s="58">
        <v>21830708</v>
      </c>
      <c r="D5" s="58">
        <v>22245521</v>
      </c>
      <c r="E5" s="59">
        <v>22610726</v>
      </c>
      <c r="F5" s="65">
        <v>0.05</v>
      </c>
      <c r="G5" s="59">
        <f>AVERAGE(Table13[[#This Row],[2020]:[2023]])</f>
        <v>22069563.5</v>
      </c>
    </row>
    <row r="6" spans="1:7">
      <c r="A6" s="57" t="s">
        <v>111</v>
      </c>
      <c r="B6" s="58">
        <v>12790357</v>
      </c>
      <c r="C6" s="58">
        <v>12690341</v>
      </c>
      <c r="D6" s="58">
        <v>12582515</v>
      </c>
      <c r="E6" s="59">
        <v>12549689</v>
      </c>
      <c r="F6" s="65">
        <v>-2.1000000000000001E-2</v>
      </c>
      <c r="G6" s="59">
        <f>AVERAGE(Table13[[#This Row],[2020]:[2023]])</f>
        <v>12653225.5</v>
      </c>
    </row>
    <row r="7" spans="1:7">
      <c r="A7" s="61" t="s">
        <v>86</v>
      </c>
      <c r="B7" s="62">
        <v>6997713</v>
      </c>
      <c r="C7" s="62">
        <v>6991951</v>
      </c>
      <c r="D7" s="62">
        <v>6982740</v>
      </c>
      <c r="E7" s="63">
        <v>7001399</v>
      </c>
      <c r="F7" s="64">
        <v>-4.0000000000000001E-3</v>
      </c>
      <c r="G7" s="63">
        <f>AVERAGE(Table13[[#This Row],[2020]:[2023]])</f>
        <v>6993450.75</v>
      </c>
    </row>
    <row r="8" spans="1:7">
      <c r="A8" s="61" t="s">
        <v>89</v>
      </c>
      <c r="B8" s="62">
        <v>10070627</v>
      </c>
      <c r="C8" s="62">
        <v>10038117</v>
      </c>
      <c r="D8" s="62">
        <v>10033281</v>
      </c>
      <c r="E8" s="63">
        <v>10037261</v>
      </c>
      <c r="F8" s="64">
        <v>-4.0000000000000001E-3</v>
      </c>
      <c r="G8" s="63">
        <f>AVERAGE(Table13[[#This Row],[2020]:[2023]])</f>
        <v>10044821.5</v>
      </c>
    </row>
    <row r="9" spans="1:7">
      <c r="A9" s="57" t="s">
        <v>90</v>
      </c>
      <c r="B9" s="58">
        <v>3115840</v>
      </c>
      <c r="C9" s="58">
        <v>3146632</v>
      </c>
      <c r="D9" s="58">
        <v>3177421</v>
      </c>
      <c r="E9" s="59">
        <v>3194176</v>
      </c>
      <c r="F9" s="65">
        <v>2.9000000000000001E-2</v>
      </c>
      <c r="G9" s="59">
        <f>AVERAGE(Table13[[#This Row],[2020]:[2023]])</f>
        <v>3158517.25</v>
      </c>
    </row>
    <row r="10" spans="1:7">
      <c r="A10" s="61" t="s">
        <v>20</v>
      </c>
      <c r="B10" s="62">
        <v>20104710</v>
      </c>
      <c r="C10" s="62">
        <v>19854526</v>
      </c>
      <c r="D10" s="62">
        <v>19673200</v>
      </c>
      <c r="E10" s="63">
        <v>19571216</v>
      </c>
      <c r="F10" s="64">
        <v>-3.1E-2</v>
      </c>
      <c r="G10" s="63">
        <f>AVERAGE(Table13[[#This Row],[2020]:[2023]])</f>
        <v>19800913</v>
      </c>
    </row>
    <row r="11" spans="1:7">
      <c r="A11" s="57" t="s">
        <v>94</v>
      </c>
      <c r="B11" s="58">
        <v>12995477</v>
      </c>
      <c r="C11" s="58">
        <v>13013614</v>
      </c>
      <c r="D11" s="58">
        <v>12972091</v>
      </c>
      <c r="E11" s="59">
        <v>12961683</v>
      </c>
      <c r="F11" s="65">
        <v>-3.0000000000000001E-3</v>
      </c>
      <c r="G11" s="59">
        <f>AVERAGE(Table13[[#This Row],[2020]:[2023]])</f>
        <v>12985716.25</v>
      </c>
    </row>
    <row r="12" spans="1:7">
      <c r="A12" s="57" t="s">
        <v>85</v>
      </c>
      <c r="B12" s="58">
        <v>29234361</v>
      </c>
      <c r="C12" s="58">
        <v>29561286</v>
      </c>
      <c r="D12" s="58">
        <v>30029848</v>
      </c>
      <c r="E12" s="59">
        <v>30503301</v>
      </c>
      <c r="F12" s="65">
        <v>4.7E-2</v>
      </c>
      <c r="G12" s="59">
        <f>AVERAGE(Table13[[#This Row],[2020]:[2023]])</f>
        <v>29832199</v>
      </c>
    </row>
    <row r="13" spans="1:7">
      <c r="A13" s="61" t="s">
        <v>29</v>
      </c>
      <c r="B13" s="62">
        <v>7724566</v>
      </c>
      <c r="C13" s="62">
        <v>7741433</v>
      </c>
      <c r="D13" s="62">
        <v>7784477</v>
      </c>
      <c r="E13" s="63">
        <v>7812880</v>
      </c>
      <c r="F13" s="64">
        <v>1.4E-2</v>
      </c>
      <c r="G13" s="63">
        <f>AVERAGE(Table13[[#This Row],[2020]:[2023]])</f>
        <v>7765839</v>
      </c>
    </row>
    <row r="18" spans="1:2">
      <c r="A18" s="53" t="s">
        <v>108</v>
      </c>
      <c r="B18" s="66" t="s">
        <v>153</v>
      </c>
    </row>
    <row r="19" spans="1:2">
      <c r="A19" s="57" t="s">
        <v>85</v>
      </c>
      <c r="B19" s="60">
        <v>4.7E-2</v>
      </c>
    </row>
    <row r="20" spans="1:2">
      <c r="A20" s="61" t="s">
        <v>86</v>
      </c>
      <c r="B20" s="67">
        <v>-4.0000000000000001E-3</v>
      </c>
    </row>
    <row r="21" spans="1:2">
      <c r="A21" s="57" t="s">
        <v>111</v>
      </c>
      <c r="B21" s="68">
        <v>-2.1000000000000001E-2</v>
      </c>
    </row>
    <row r="22" spans="1:2">
      <c r="A22" s="61" t="s">
        <v>85</v>
      </c>
      <c r="B22" s="67">
        <v>1.7999999999999999E-2</v>
      </c>
    </row>
    <row r="23" spans="1:2">
      <c r="A23" s="57" t="s">
        <v>88</v>
      </c>
      <c r="B23" s="68">
        <v>1.7999999999999999E-2</v>
      </c>
    </row>
    <row r="24" spans="1:2">
      <c r="A24" s="61" t="s">
        <v>89</v>
      </c>
      <c r="B24" s="67">
        <v>-4.0000000000000001E-3</v>
      </c>
    </row>
    <row r="25" spans="1:2">
      <c r="A25" s="57" t="s">
        <v>90</v>
      </c>
      <c r="B25" s="68">
        <v>2.9000000000000001E-2</v>
      </c>
    </row>
    <row r="26" spans="1:2">
      <c r="A26" s="61" t="s">
        <v>112</v>
      </c>
      <c r="B26" s="67">
        <v>-1.4E-2</v>
      </c>
    </row>
    <row r="27" spans="1:2">
      <c r="A27" s="57" t="s">
        <v>92</v>
      </c>
      <c r="B27" s="68">
        <v>0.05</v>
      </c>
    </row>
    <row r="28" spans="1:2">
      <c r="A28" s="61" t="s">
        <v>20</v>
      </c>
      <c r="B28" s="67">
        <v>-3.1E-2</v>
      </c>
    </row>
    <row r="29" spans="1:2">
      <c r="A29" s="57" t="s">
        <v>94</v>
      </c>
      <c r="B29" s="68">
        <v>-3.0000000000000001E-3</v>
      </c>
    </row>
    <row r="30" spans="1:2">
      <c r="A30" s="61" t="s">
        <v>29</v>
      </c>
      <c r="B30" s="67">
        <v>1.4E-2</v>
      </c>
    </row>
    <row r="31" spans="1:2">
      <c r="A31" s="57" t="s">
        <v>151</v>
      </c>
      <c r="B31" s="68">
        <v>-1.4999999999999999E-2</v>
      </c>
    </row>
    <row r="35" spans="1:2">
      <c r="A35" s="54" t="s">
        <v>108</v>
      </c>
      <c r="B35" s="54" t="s">
        <v>34</v>
      </c>
    </row>
    <row r="36" spans="1:2">
      <c r="A36" s="57" t="s">
        <v>112</v>
      </c>
      <c r="B36" s="87">
        <f t="shared" ref="B36:B46" si="0">AVERAGE(B2:E2)</f>
        <v>39163517.25</v>
      </c>
    </row>
    <row r="37" spans="1:2">
      <c r="A37" s="61" t="s">
        <v>88</v>
      </c>
      <c r="B37" s="88">
        <f t="shared" si="0"/>
        <v>5828866</v>
      </c>
    </row>
    <row r="38" spans="1:2">
      <c r="A38" s="57" t="s">
        <v>151</v>
      </c>
      <c r="B38" s="87">
        <f t="shared" si="0"/>
        <v>672449.25</v>
      </c>
    </row>
    <row r="39" spans="1:2">
      <c r="A39" s="61" t="s">
        <v>92</v>
      </c>
      <c r="B39" s="88">
        <f t="shared" si="0"/>
        <v>22069563.5</v>
      </c>
    </row>
    <row r="40" spans="1:2">
      <c r="A40" s="57" t="s">
        <v>111</v>
      </c>
      <c r="B40" s="87">
        <f t="shared" si="0"/>
        <v>12653225.5</v>
      </c>
    </row>
    <row r="41" spans="1:2">
      <c r="A41" s="61" t="s">
        <v>86</v>
      </c>
      <c r="B41" s="88">
        <f t="shared" si="0"/>
        <v>6993450.75</v>
      </c>
    </row>
    <row r="42" spans="1:2">
      <c r="A42" s="57" t="s">
        <v>89</v>
      </c>
      <c r="B42" s="87">
        <f t="shared" si="0"/>
        <v>10044821.5</v>
      </c>
    </row>
    <row r="43" spans="1:2">
      <c r="A43" s="61" t="s">
        <v>90</v>
      </c>
      <c r="B43" s="88">
        <f t="shared" si="0"/>
        <v>3158517.25</v>
      </c>
    </row>
    <row r="44" spans="1:2">
      <c r="A44" s="57" t="s">
        <v>20</v>
      </c>
      <c r="B44" s="87">
        <f t="shared" si="0"/>
        <v>19800913</v>
      </c>
    </row>
    <row r="45" spans="1:2">
      <c r="A45" s="61" t="s">
        <v>94</v>
      </c>
      <c r="B45" s="88">
        <f t="shared" si="0"/>
        <v>12985716.25</v>
      </c>
    </row>
    <row r="46" spans="1:2">
      <c r="A46" s="57" t="s">
        <v>85</v>
      </c>
      <c r="B46" s="87">
        <f t="shared" si="0"/>
        <v>29832199</v>
      </c>
    </row>
    <row r="47" spans="1:2">
      <c r="A47" s="57" t="s">
        <v>29</v>
      </c>
      <c r="B47" s="87">
        <f>AVERAGE(B13:E13)</f>
        <v>7765839</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0215-F144-468D-8228-9FB53D80BEF7}">
  <sheetPr codeName="Sheet12">
    <tabColor theme="8" tint="0.79998168889431442"/>
  </sheetPr>
  <dimension ref="A1:T180"/>
  <sheetViews>
    <sheetView workbookViewId="0">
      <selection activeCell="Q43" sqref="Q43"/>
    </sheetView>
  </sheetViews>
  <sheetFormatPr baseColWidth="10" defaultColWidth="10.83203125" defaultRowHeight="15"/>
  <cols>
    <col min="1" max="1" width="19.1640625" style="31" bestFit="1" customWidth="1"/>
    <col min="2" max="2" width="26" style="31" bestFit="1" customWidth="1"/>
    <col min="3" max="3" width="9" style="31" bestFit="1" customWidth="1"/>
    <col min="4" max="5" width="16.33203125" style="31" bestFit="1" customWidth="1"/>
    <col min="6" max="6" width="8.6640625" style="31" bestFit="1" customWidth="1"/>
    <col min="7" max="7" width="18.83203125" style="31" bestFit="1" customWidth="1"/>
    <col min="8" max="8" width="9.1640625" style="31" bestFit="1" customWidth="1"/>
    <col min="9" max="9" width="10.6640625" style="31" bestFit="1" customWidth="1"/>
    <col min="10" max="10" width="6.33203125" style="31" bestFit="1" customWidth="1"/>
    <col min="11" max="11" width="9" style="31" bestFit="1" customWidth="1"/>
    <col min="12" max="12" width="9.6640625" style="31" bestFit="1" customWidth="1"/>
    <col min="13" max="13" width="12.33203125" style="31" bestFit="1" customWidth="1"/>
    <col min="14" max="15" width="6.6640625" style="31" bestFit="1" customWidth="1"/>
    <col min="16" max="16" width="11.1640625" style="31" bestFit="1" customWidth="1"/>
    <col min="17" max="17" width="10.6640625" style="31" bestFit="1" customWidth="1"/>
    <col min="18" max="18" width="21" style="31" bestFit="1" customWidth="1"/>
    <col min="19" max="20" width="9.1640625" style="31" bestFit="1" customWidth="1"/>
    <col min="21" max="16384" width="10.83203125" style="31"/>
  </cols>
  <sheetData>
    <row r="1" spans="1:6">
      <c r="A1" s="98"/>
      <c r="B1" s="98"/>
      <c r="C1" s="98"/>
      <c r="D1" s="98"/>
      <c r="E1" s="98"/>
      <c r="F1" s="98"/>
    </row>
    <row r="2" spans="1:6">
      <c r="A2" s="193"/>
      <c r="B2" s="193"/>
      <c r="C2" s="193"/>
      <c r="D2" s="193"/>
      <c r="E2" s="193"/>
      <c r="F2" s="193"/>
    </row>
    <row r="3" spans="1:6" ht="21">
      <c r="A3" s="192" t="s">
        <v>162</v>
      </c>
      <c r="B3" s="192"/>
      <c r="C3" s="192"/>
      <c r="D3" s="192"/>
      <c r="E3" s="192"/>
      <c r="F3" s="192"/>
    </row>
    <row r="5" spans="1:6" s="32" customFormat="1" ht="32">
      <c r="A5" s="69" t="s">
        <v>252</v>
      </c>
      <c r="B5" s="32" t="s">
        <v>163</v>
      </c>
      <c r="C5" s="31"/>
      <c r="D5" s="104" t="s">
        <v>81</v>
      </c>
      <c r="E5" s="31" t="s">
        <v>164</v>
      </c>
      <c r="F5" s="31" t="s">
        <v>165</v>
      </c>
    </row>
    <row r="6" spans="1:6">
      <c r="A6" s="31" t="s">
        <v>4</v>
      </c>
      <c r="B6" s="31">
        <v>1190</v>
      </c>
      <c r="C6"/>
      <c r="D6" t="s">
        <v>4</v>
      </c>
      <c r="E6">
        <v>0.6</v>
      </c>
      <c r="F6">
        <v>0.2</v>
      </c>
    </row>
    <row r="7" spans="1:6">
      <c r="A7" s="31" t="s">
        <v>253</v>
      </c>
      <c r="B7" s="31">
        <v>622</v>
      </c>
      <c r="C7"/>
      <c r="D7" t="s">
        <v>6</v>
      </c>
      <c r="E7">
        <v>23</v>
      </c>
      <c r="F7">
        <v>49.2</v>
      </c>
    </row>
    <row r="8" spans="1:6">
      <c r="A8" s="31" t="s">
        <v>8</v>
      </c>
      <c r="B8" s="31">
        <v>3885</v>
      </c>
      <c r="C8"/>
      <c r="D8" t="s">
        <v>8</v>
      </c>
      <c r="E8">
        <v>28.2</v>
      </c>
      <c r="F8">
        <v>38.799999999999997</v>
      </c>
    </row>
    <row r="9" spans="1:6">
      <c r="A9" s="31" t="s">
        <v>254</v>
      </c>
      <c r="B9" s="31">
        <v>1398</v>
      </c>
      <c r="C9"/>
      <c r="D9" t="s">
        <v>9</v>
      </c>
      <c r="E9">
        <v>1.5</v>
      </c>
      <c r="F9">
        <v>1.7</v>
      </c>
    </row>
    <row r="10" spans="1:6">
      <c r="A10" s="31" t="s">
        <v>11</v>
      </c>
      <c r="B10" s="31">
        <v>925</v>
      </c>
      <c r="C10"/>
      <c r="D10" t="s">
        <v>11</v>
      </c>
      <c r="E10">
        <v>31.4</v>
      </c>
      <c r="F10">
        <v>49</v>
      </c>
    </row>
    <row r="11" spans="1:6">
      <c r="A11" s="31" t="s">
        <v>13</v>
      </c>
      <c r="B11" s="31">
        <v>4508</v>
      </c>
      <c r="C11"/>
      <c r="D11" t="s">
        <v>13</v>
      </c>
      <c r="E11">
        <v>37.6</v>
      </c>
      <c r="F11">
        <v>45</v>
      </c>
    </row>
    <row r="12" spans="1:6">
      <c r="A12" s="31" t="s">
        <v>14</v>
      </c>
      <c r="B12" s="31">
        <v>657</v>
      </c>
      <c r="C12"/>
      <c r="D12" t="s">
        <v>14</v>
      </c>
      <c r="E12">
        <v>0.2</v>
      </c>
      <c r="F12">
        <v>0.2</v>
      </c>
    </row>
    <row r="13" spans="1:6">
      <c r="A13" s="31" t="s">
        <v>16</v>
      </c>
      <c r="B13" s="31">
        <v>5206</v>
      </c>
      <c r="C13"/>
      <c r="D13" t="s">
        <v>16</v>
      </c>
      <c r="E13">
        <v>0</v>
      </c>
      <c r="F13">
        <v>0</v>
      </c>
    </row>
    <row r="14" spans="1:6">
      <c r="A14" s="31" t="s">
        <v>18</v>
      </c>
      <c r="B14" s="31">
        <v>2488</v>
      </c>
      <c r="C14"/>
      <c r="D14" t="s">
        <v>18</v>
      </c>
      <c r="E14">
        <v>0</v>
      </c>
      <c r="F14">
        <v>0</v>
      </c>
    </row>
    <row r="15" spans="1:6">
      <c r="A15" s="31" t="s">
        <v>20</v>
      </c>
      <c r="B15" s="31">
        <v>6192</v>
      </c>
      <c r="C15"/>
      <c r="D15" t="s">
        <v>20</v>
      </c>
      <c r="E15">
        <v>11.4</v>
      </c>
      <c r="F15">
        <v>29.8</v>
      </c>
    </row>
    <row r="16" spans="1:6">
      <c r="A16" s="31" t="s">
        <v>31</v>
      </c>
      <c r="B16" s="31">
        <v>11012</v>
      </c>
      <c r="C16"/>
      <c r="D16" t="s">
        <v>21</v>
      </c>
      <c r="E16">
        <v>40.200000000000003</v>
      </c>
      <c r="F16">
        <v>44.1</v>
      </c>
    </row>
    <row r="17" spans="1:7">
      <c r="A17" s="31" t="s">
        <v>23</v>
      </c>
      <c r="B17" s="31">
        <v>5492</v>
      </c>
      <c r="C17"/>
      <c r="D17" t="s">
        <v>23</v>
      </c>
      <c r="E17">
        <v>0</v>
      </c>
      <c r="F17">
        <v>0</v>
      </c>
    </row>
    <row r="18" spans="1:7">
      <c r="A18" s="31" t="s">
        <v>25</v>
      </c>
      <c r="B18" s="31">
        <v>1865</v>
      </c>
      <c r="C18"/>
      <c r="D18" t="s">
        <v>25</v>
      </c>
      <c r="E18">
        <v>4.7</v>
      </c>
      <c r="F18">
        <v>6.3</v>
      </c>
    </row>
    <row r="19" spans="1:7">
      <c r="A19" s="31" t="s">
        <v>27</v>
      </c>
      <c r="B19" s="31">
        <v>2598</v>
      </c>
      <c r="C19"/>
      <c r="D19" t="s">
        <v>27</v>
      </c>
      <c r="E19">
        <v>0</v>
      </c>
      <c r="F19">
        <v>0</v>
      </c>
    </row>
    <row r="20" spans="1:7">
      <c r="A20" s="31" t="s">
        <v>29</v>
      </c>
      <c r="B20" s="31">
        <v>1121</v>
      </c>
      <c r="C20"/>
      <c r="D20" t="s">
        <v>29</v>
      </c>
      <c r="E20">
        <v>8</v>
      </c>
      <c r="F20">
        <v>13.7</v>
      </c>
    </row>
    <row r="21" spans="1:7">
      <c r="A21" s="31" t="s">
        <v>161</v>
      </c>
      <c r="B21" s="31">
        <v>49159</v>
      </c>
      <c r="C21"/>
      <c r="D21" t="s">
        <v>161</v>
      </c>
      <c r="E21">
        <v>186.79999999999995</v>
      </c>
      <c r="F21">
        <v>278</v>
      </c>
    </row>
    <row r="22" spans="1:7">
      <c r="C22"/>
      <c r="D22"/>
      <c r="E22"/>
      <c r="F22"/>
    </row>
    <row r="23" spans="1:7">
      <c r="A23" s="98"/>
      <c r="B23" s="98"/>
      <c r="C23" s="98"/>
      <c r="D23" s="98"/>
      <c r="E23" s="98"/>
      <c r="F23" s="98"/>
    </row>
    <row r="24" spans="1:7">
      <c r="A24" s="193"/>
      <c r="B24" s="193"/>
      <c r="C24" s="193"/>
      <c r="D24" s="193"/>
      <c r="E24" s="193"/>
      <c r="F24" s="193"/>
    </row>
    <row r="25" spans="1:7" ht="21">
      <c r="A25" s="192" t="s">
        <v>166</v>
      </c>
      <c r="B25" s="192"/>
      <c r="C25" s="192"/>
      <c r="D25" s="192"/>
      <c r="E25" s="192"/>
      <c r="F25" s="192"/>
    </row>
    <row r="27" spans="1:7" ht="64">
      <c r="A27" s="69" t="s">
        <v>81</v>
      </c>
      <c r="B27" s="32" t="s">
        <v>150</v>
      </c>
      <c r="C27" s="32" t="s">
        <v>167</v>
      </c>
      <c r="E27" s="69" t="s">
        <v>81</v>
      </c>
      <c r="F27" s="32" t="s">
        <v>255</v>
      </c>
      <c r="G27" s="32" t="s">
        <v>256</v>
      </c>
    </row>
    <row r="28" spans="1:7">
      <c r="A28" s="31" t="s">
        <v>4</v>
      </c>
      <c r="B28" s="77">
        <v>1213.0899999999999</v>
      </c>
      <c r="C28" s="77">
        <v>1241.42</v>
      </c>
      <c r="E28" s="38" t="s">
        <v>4</v>
      </c>
      <c r="F28" s="94">
        <v>2473</v>
      </c>
      <c r="G28">
        <v>73.2</v>
      </c>
    </row>
    <row r="29" spans="1:7">
      <c r="A29" s="31" t="s">
        <v>6</v>
      </c>
      <c r="B29" s="77">
        <v>1478.81</v>
      </c>
      <c r="C29" s="77">
        <v>1498.72</v>
      </c>
      <c r="E29" s="38" t="s">
        <v>6</v>
      </c>
      <c r="F29" s="94">
        <v>3467</v>
      </c>
      <c r="G29">
        <v>84.6</v>
      </c>
    </row>
    <row r="30" spans="1:7">
      <c r="A30" s="31" t="s">
        <v>8</v>
      </c>
      <c r="B30" s="77">
        <v>1166.8900000000001</v>
      </c>
      <c r="C30" s="77">
        <v>1174.1099999999999</v>
      </c>
      <c r="E30" s="38" t="s">
        <v>8</v>
      </c>
      <c r="F30" s="94">
        <v>2667</v>
      </c>
      <c r="G30">
        <v>79</v>
      </c>
    </row>
    <row r="31" spans="1:7">
      <c r="A31" s="31" t="s">
        <v>9</v>
      </c>
      <c r="B31" s="77">
        <v>1243.1099999999999</v>
      </c>
      <c r="C31" s="77">
        <v>1264.1600000000001</v>
      </c>
      <c r="E31" s="38" t="s">
        <v>9</v>
      </c>
      <c r="F31" s="94">
        <v>2550</v>
      </c>
      <c r="G31">
        <v>77.099999999999994</v>
      </c>
    </row>
    <row r="32" spans="1:7">
      <c r="A32" s="31" t="s">
        <v>11</v>
      </c>
      <c r="B32" s="77">
        <v>1344.9</v>
      </c>
      <c r="C32" s="77">
        <v>1375.3</v>
      </c>
      <c r="E32" s="38" t="s">
        <v>11</v>
      </c>
      <c r="F32" s="94">
        <v>2699</v>
      </c>
      <c r="G32">
        <v>81.7</v>
      </c>
    </row>
    <row r="33" spans="1:17">
      <c r="A33" s="31" t="s">
        <v>13</v>
      </c>
      <c r="B33" s="77">
        <v>1229.8900000000001</v>
      </c>
      <c r="C33" s="77">
        <v>1222.92</v>
      </c>
      <c r="E33" s="38" t="s">
        <v>13</v>
      </c>
      <c r="F33" s="94">
        <v>2006</v>
      </c>
      <c r="G33">
        <v>74</v>
      </c>
    </row>
    <row r="34" spans="1:17">
      <c r="A34" s="31" t="s">
        <v>14</v>
      </c>
      <c r="B34" s="77">
        <v>994.65</v>
      </c>
      <c r="C34" s="77">
        <v>1045.81</v>
      </c>
      <c r="E34" s="38" t="s">
        <v>14</v>
      </c>
      <c r="F34" s="94">
        <v>2246</v>
      </c>
      <c r="G34">
        <v>72.7</v>
      </c>
    </row>
    <row r="35" spans="1:17">
      <c r="A35" s="31" t="s">
        <v>16</v>
      </c>
      <c r="B35" s="77">
        <v>1314.78</v>
      </c>
      <c r="C35" s="77">
        <v>1302.51</v>
      </c>
      <c r="E35" s="38" t="s">
        <v>16</v>
      </c>
      <c r="F35" s="94">
        <v>3187</v>
      </c>
      <c r="G35">
        <v>78.7</v>
      </c>
    </row>
    <row r="36" spans="1:17">
      <c r="A36" s="31" t="s">
        <v>18</v>
      </c>
      <c r="B36" s="77">
        <v>1061.05</v>
      </c>
      <c r="C36" s="77">
        <v>1047.54</v>
      </c>
      <c r="E36" s="38" t="s">
        <v>18</v>
      </c>
      <c r="F36" s="94">
        <v>3103</v>
      </c>
      <c r="G36">
        <v>81.900000000000006</v>
      </c>
    </row>
    <row r="37" spans="1:17">
      <c r="A37" s="31" t="s">
        <v>20</v>
      </c>
      <c r="B37" s="77">
        <v>1269.2</v>
      </c>
      <c r="C37" s="77">
        <v>1269.3599999999999</v>
      </c>
      <c r="E37" s="38" t="s">
        <v>20</v>
      </c>
      <c r="F37" s="94">
        <v>4051</v>
      </c>
      <c r="G37">
        <v>100</v>
      </c>
    </row>
    <row r="38" spans="1:17">
      <c r="A38" s="31" t="s">
        <v>31</v>
      </c>
      <c r="B38" s="77">
        <v>1038.3</v>
      </c>
      <c r="C38" s="77">
        <v>1017.27</v>
      </c>
      <c r="E38" s="38" t="s">
        <v>31</v>
      </c>
      <c r="F38" s="94">
        <v>2223</v>
      </c>
      <c r="G38">
        <v>77.8</v>
      </c>
    </row>
    <row r="39" spans="1:17">
      <c r="A39" s="31" t="s">
        <v>23</v>
      </c>
      <c r="B39" s="77">
        <v>1617.09</v>
      </c>
      <c r="C39" s="77">
        <v>1554.4</v>
      </c>
      <c r="E39" s="38" t="s">
        <v>23</v>
      </c>
      <c r="F39" s="94">
        <v>3781</v>
      </c>
      <c r="G39">
        <v>99.6</v>
      </c>
    </row>
    <row r="40" spans="1:17">
      <c r="A40" s="31" t="s">
        <v>25</v>
      </c>
      <c r="B40" s="77">
        <v>1496.7</v>
      </c>
      <c r="C40" s="77">
        <v>1481.43</v>
      </c>
      <c r="E40" s="38" t="s">
        <v>25</v>
      </c>
      <c r="F40" s="94">
        <v>2908</v>
      </c>
      <c r="G40">
        <v>92.9</v>
      </c>
    </row>
    <row r="41" spans="1:17">
      <c r="A41" s="31" t="s">
        <v>27</v>
      </c>
      <c r="B41" s="77">
        <v>1085.81</v>
      </c>
      <c r="C41" s="77">
        <v>1178.93</v>
      </c>
      <c r="E41" s="38" t="s">
        <v>27</v>
      </c>
      <c r="F41" s="94">
        <v>2518</v>
      </c>
      <c r="G41">
        <v>76.3</v>
      </c>
    </row>
    <row r="42" spans="1:17">
      <c r="A42" s="31" t="s">
        <v>29</v>
      </c>
      <c r="B42" s="77">
        <v>1473.12</v>
      </c>
      <c r="C42" s="77">
        <v>1440.74</v>
      </c>
      <c r="E42" s="38" t="s">
        <v>158</v>
      </c>
      <c r="F42" s="94">
        <v>3139</v>
      </c>
      <c r="G42">
        <v>83.8</v>
      </c>
    </row>
    <row r="43" spans="1:17">
      <c r="A43" s="31" t="s">
        <v>161</v>
      </c>
      <c r="B43" s="31">
        <v>19027.39</v>
      </c>
      <c r="C43" s="31">
        <v>19114.620000000003</v>
      </c>
      <c r="E43" s="38" t="s">
        <v>161</v>
      </c>
      <c r="F43" s="94">
        <v>43018</v>
      </c>
      <c r="G43">
        <v>1233.3</v>
      </c>
    </row>
    <row r="44" spans="1:17">
      <c r="E44"/>
      <c r="F44"/>
      <c r="G44"/>
    </row>
    <row r="45" spans="1:17" ht="16">
      <c r="A45" s="69" t="s">
        <v>81</v>
      </c>
      <c r="B45" s="32" t="s">
        <v>168</v>
      </c>
      <c r="C45"/>
      <c r="D45"/>
      <c r="E45"/>
      <c r="F45"/>
      <c r="G45"/>
      <c r="H45"/>
      <c r="I45"/>
      <c r="J45"/>
      <c r="K45"/>
      <c r="L45"/>
      <c r="M45"/>
      <c r="N45"/>
      <c r="O45"/>
      <c r="P45"/>
      <c r="Q45"/>
    </row>
    <row r="46" spans="1:17">
      <c r="A46" s="31" t="s">
        <v>8</v>
      </c>
      <c r="B46" s="74">
        <v>10.25</v>
      </c>
      <c r="C46"/>
      <c r="D46"/>
      <c r="E46"/>
      <c r="F46"/>
      <c r="G46"/>
      <c r="H46"/>
      <c r="I46"/>
      <c r="J46"/>
      <c r="K46"/>
      <c r="L46"/>
      <c r="M46"/>
      <c r="N46"/>
      <c r="O46"/>
      <c r="P46"/>
      <c r="Q46"/>
    </row>
    <row r="47" spans="1:17">
      <c r="A47" s="31" t="s">
        <v>25</v>
      </c>
      <c r="B47" s="74">
        <v>10.1</v>
      </c>
      <c r="C47"/>
      <c r="D47"/>
      <c r="E47"/>
      <c r="F47"/>
      <c r="G47"/>
      <c r="H47"/>
      <c r="I47"/>
      <c r="J47"/>
      <c r="K47"/>
      <c r="L47"/>
      <c r="M47"/>
      <c r="N47"/>
      <c r="O47"/>
      <c r="P47"/>
      <c r="Q47"/>
    </row>
    <row r="48" spans="1:17">
      <c r="A48" s="31" t="s">
        <v>16</v>
      </c>
      <c r="B48" s="74">
        <v>9.5</v>
      </c>
      <c r="E48"/>
      <c r="F48"/>
      <c r="G48"/>
    </row>
    <row r="49" spans="1:7">
      <c r="A49" s="31" t="s">
        <v>20</v>
      </c>
      <c r="B49" s="74">
        <v>8.875</v>
      </c>
      <c r="E49"/>
      <c r="F49"/>
      <c r="G49"/>
    </row>
    <row r="50" spans="1:7">
      <c r="A50" s="31" t="s">
        <v>23</v>
      </c>
      <c r="B50" s="74">
        <v>8.5</v>
      </c>
      <c r="E50"/>
      <c r="F50"/>
      <c r="G50"/>
    </row>
    <row r="51" spans="1:7">
      <c r="A51" s="31" t="s">
        <v>14</v>
      </c>
      <c r="B51" s="74">
        <v>8.3800000000000008</v>
      </c>
      <c r="E51"/>
      <c r="F51"/>
      <c r="G51"/>
    </row>
    <row r="52" spans="1:7">
      <c r="A52" s="31" t="s">
        <v>9</v>
      </c>
      <c r="B52" s="74">
        <v>8.25</v>
      </c>
      <c r="E52"/>
      <c r="F52"/>
      <c r="G52"/>
    </row>
    <row r="53" spans="1:7">
      <c r="A53" s="31" t="s">
        <v>4</v>
      </c>
      <c r="B53" s="74">
        <v>8.25</v>
      </c>
      <c r="E53"/>
      <c r="F53"/>
      <c r="G53"/>
    </row>
    <row r="54" spans="1:7">
      <c r="A54" s="31" t="s">
        <v>11</v>
      </c>
      <c r="B54" s="74">
        <v>7.65</v>
      </c>
      <c r="E54"/>
      <c r="F54"/>
      <c r="G54"/>
    </row>
    <row r="55" spans="1:7">
      <c r="A55" s="31" t="s">
        <v>27</v>
      </c>
      <c r="B55" s="74">
        <v>7.5</v>
      </c>
      <c r="E55"/>
      <c r="F55"/>
      <c r="G55"/>
    </row>
    <row r="56" spans="1:7">
      <c r="A56" s="31" t="s">
        <v>31</v>
      </c>
      <c r="B56" s="74">
        <v>7</v>
      </c>
      <c r="E56"/>
      <c r="F56"/>
      <c r="G56"/>
    </row>
    <row r="57" spans="1:7">
      <c r="A57" s="31" t="s">
        <v>18</v>
      </c>
      <c r="B57" s="74">
        <v>7</v>
      </c>
      <c r="E57"/>
      <c r="F57"/>
      <c r="G57"/>
    </row>
    <row r="58" spans="1:7">
      <c r="A58" s="31" t="s">
        <v>6</v>
      </c>
      <c r="B58" s="74">
        <v>6.25</v>
      </c>
      <c r="E58"/>
      <c r="F58"/>
      <c r="G58"/>
    </row>
    <row r="59" spans="1:7">
      <c r="A59" s="31" t="s">
        <v>29</v>
      </c>
      <c r="B59" s="74">
        <v>6</v>
      </c>
    </row>
    <row r="60" spans="1:7">
      <c r="A60" s="31" t="s">
        <v>13</v>
      </c>
      <c r="B60" s="74">
        <v>6</v>
      </c>
    </row>
    <row r="61" spans="1:7">
      <c r="A61" s="31" t="s">
        <v>161</v>
      </c>
      <c r="B61" s="31">
        <v>119.505</v>
      </c>
    </row>
    <row r="63" spans="1:7">
      <c r="A63" s="75" t="s">
        <v>108</v>
      </c>
      <c r="B63" t="s">
        <v>169</v>
      </c>
      <c r="C63"/>
      <c r="D63"/>
      <c r="E63"/>
    </row>
    <row r="64" spans="1:7">
      <c r="A64" t="s">
        <v>112</v>
      </c>
      <c r="B64" s="103">
        <v>39163517.25</v>
      </c>
      <c r="C64"/>
      <c r="D64"/>
      <c r="E64"/>
    </row>
    <row r="65" spans="1:5">
      <c r="A65" t="s">
        <v>88</v>
      </c>
      <c r="B65" s="103">
        <v>5828866</v>
      </c>
      <c r="C65"/>
      <c r="D65"/>
      <c r="E65"/>
    </row>
    <row r="66" spans="1:5">
      <c r="A66" t="s">
        <v>151</v>
      </c>
      <c r="B66" s="103">
        <v>672449.25</v>
      </c>
      <c r="C66"/>
      <c r="D66"/>
      <c r="E66"/>
    </row>
    <row r="67" spans="1:5">
      <c r="A67" t="s">
        <v>92</v>
      </c>
      <c r="B67" s="103">
        <v>22069563.5</v>
      </c>
      <c r="C67"/>
      <c r="D67"/>
      <c r="E67"/>
    </row>
    <row r="68" spans="1:5">
      <c r="A68" t="s">
        <v>111</v>
      </c>
      <c r="B68" s="103">
        <v>12653225.5</v>
      </c>
      <c r="C68"/>
      <c r="D68"/>
      <c r="E68"/>
    </row>
    <row r="69" spans="1:5">
      <c r="A69" t="s">
        <v>86</v>
      </c>
      <c r="B69" s="103">
        <v>6993450.75</v>
      </c>
      <c r="C69"/>
      <c r="D69"/>
      <c r="E69"/>
    </row>
    <row r="70" spans="1:5">
      <c r="A70" t="s">
        <v>89</v>
      </c>
      <c r="B70" s="103">
        <v>10044821.5</v>
      </c>
      <c r="C70"/>
      <c r="D70"/>
      <c r="E70"/>
    </row>
    <row r="71" spans="1:5">
      <c r="A71" t="s">
        <v>90</v>
      </c>
      <c r="B71" s="103">
        <v>3158517.25</v>
      </c>
      <c r="C71"/>
      <c r="D71"/>
      <c r="E71"/>
    </row>
    <row r="72" spans="1:5">
      <c r="A72" t="s">
        <v>20</v>
      </c>
      <c r="B72" s="103">
        <v>19800913</v>
      </c>
      <c r="C72"/>
    </row>
    <row r="73" spans="1:5">
      <c r="A73" t="s">
        <v>94</v>
      </c>
      <c r="B73" s="103">
        <v>12985716.25</v>
      </c>
      <c r="C73"/>
    </row>
    <row r="74" spans="1:5">
      <c r="A74" t="s">
        <v>85</v>
      </c>
      <c r="B74" s="103">
        <v>59664398</v>
      </c>
      <c r="C74"/>
    </row>
    <row r="75" spans="1:5">
      <c r="A75" t="s">
        <v>29</v>
      </c>
      <c r="B75" s="103">
        <v>7765839</v>
      </c>
      <c r="C75"/>
    </row>
    <row r="76" spans="1:5">
      <c r="A76" t="s">
        <v>161</v>
      </c>
      <c r="B76" s="103">
        <v>200801277.25</v>
      </c>
      <c r="C76"/>
    </row>
    <row r="78" spans="1:5" ht="32">
      <c r="A78" s="69" t="s">
        <v>108</v>
      </c>
      <c r="B78" s="32" t="s">
        <v>170</v>
      </c>
    </row>
    <row r="79" spans="1:5">
      <c r="A79" s="31" t="s">
        <v>112</v>
      </c>
      <c r="B79" s="78">
        <v>-1.4E-2</v>
      </c>
    </row>
    <row r="80" spans="1:5">
      <c r="A80" s="31" t="s">
        <v>88</v>
      </c>
      <c r="B80" s="78">
        <v>1.7999999999999999E-2</v>
      </c>
    </row>
    <row r="81" spans="1:6">
      <c r="A81" s="31" t="s">
        <v>151</v>
      </c>
      <c r="B81" s="78">
        <v>-1.4999999999999999E-2</v>
      </c>
    </row>
    <row r="82" spans="1:6">
      <c r="A82" s="31" t="s">
        <v>92</v>
      </c>
      <c r="B82" s="78">
        <v>0.05</v>
      </c>
    </row>
    <row r="83" spans="1:6">
      <c r="A83" s="31" t="s">
        <v>111</v>
      </c>
      <c r="B83" s="78">
        <v>-2.1000000000000001E-2</v>
      </c>
    </row>
    <row r="84" spans="1:6">
      <c r="A84" s="31" t="s">
        <v>86</v>
      </c>
      <c r="B84" s="78">
        <v>-4.0000000000000001E-3</v>
      </c>
    </row>
    <row r="85" spans="1:6">
      <c r="A85" s="31" t="s">
        <v>89</v>
      </c>
      <c r="B85" s="78">
        <v>-4.0000000000000001E-3</v>
      </c>
    </row>
    <row r="86" spans="1:6">
      <c r="A86" s="31" t="s">
        <v>90</v>
      </c>
      <c r="B86" s="78">
        <v>2.9000000000000001E-2</v>
      </c>
    </row>
    <row r="87" spans="1:6">
      <c r="A87" s="31" t="s">
        <v>20</v>
      </c>
      <c r="B87" s="78">
        <v>-3.1E-2</v>
      </c>
    </row>
    <row r="88" spans="1:6">
      <c r="A88" s="31" t="s">
        <v>94</v>
      </c>
      <c r="B88" s="78">
        <v>-3.0000000000000001E-3</v>
      </c>
    </row>
    <row r="89" spans="1:6">
      <c r="A89" s="31" t="s">
        <v>85</v>
      </c>
      <c r="B89" s="78">
        <v>3.2500000000000001E-2</v>
      </c>
    </row>
    <row r="90" spans="1:6">
      <c r="A90" s="31" t="s">
        <v>29</v>
      </c>
      <c r="B90" s="78">
        <v>1.4E-2</v>
      </c>
    </row>
    <row r="91" spans="1:6">
      <c r="A91" s="31" t="s">
        <v>161</v>
      </c>
      <c r="B91" s="31">
        <v>6.4615384615384613E-3</v>
      </c>
    </row>
    <row r="93" spans="1:6">
      <c r="C93"/>
    </row>
    <row r="94" spans="1:6" ht="15" customHeight="1">
      <c r="A94" s="98"/>
      <c r="B94" s="98"/>
      <c r="C94" s="98"/>
      <c r="D94" s="98"/>
      <c r="E94" s="98"/>
      <c r="F94" s="98"/>
    </row>
    <row r="95" spans="1:6" ht="15" customHeight="1">
      <c r="A95" s="193"/>
      <c r="B95" s="193"/>
      <c r="C95" s="193"/>
      <c r="D95" s="193"/>
      <c r="E95" s="193"/>
      <c r="F95" s="193"/>
    </row>
    <row r="96" spans="1:6" ht="21">
      <c r="A96" s="192" t="s">
        <v>171</v>
      </c>
      <c r="B96" s="192"/>
      <c r="C96" s="192"/>
      <c r="D96" s="192"/>
      <c r="E96" s="192"/>
      <c r="F96" s="192"/>
    </row>
    <row r="97" spans="1:14">
      <c r="C97"/>
    </row>
    <row r="98" spans="1:14">
      <c r="A98" s="75" t="s">
        <v>159</v>
      </c>
      <c r="B98" t="s">
        <v>168</v>
      </c>
      <c r="C98"/>
      <c r="D98" s="75" t="s">
        <v>159</v>
      </c>
      <c r="E98" t="s">
        <v>150</v>
      </c>
      <c r="F98" t="s">
        <v>167</v>
      </c>
      <c r="G98"/>
      <c r="H98"/>
      <c r="I98"/>
      <c r="J98"/>
      <c r="K98"/>
      <c r="L98"/>
      <c r="M98"/>
      <c r="N98"/>
    </row>
    <row r="99" spans="1:14">
      <c r="A99" s="38" t="s">
        <v>8</v>
      </c>
      <c r="B99" s="85">
        <v>10.25</v>
      </c>
      <c r="C99"/>
      <c r="D99" s="38" t="s">
        <v>4</v>
      </c>
      <c r="E99" s="94">
        <v>1213.0899999999999</v>
      </c>
      <c r="F99" s="86">
        <v>1241.42</v>
      </c>
      <c r="G99"/>
      <c r="H99"/>
      <c r="I99"/>
      <c r="J99"/>
      <c r="K99"/>
      <c r="L99"/>
      <c r="M99"/>
      <c r="N99"/>
    </row>
    <row r="100" spans="1:14">
      <c r="A100" s="38" t="s">
        <v>25</v>
      </c>
      <c r="B100" s="85">
        <v>10.1</v>
      </c>
      <c r="C100"/>
      <c r="D100" s="38" t="s">
        <v>6</v>
      </c>
      <c r="E100" s="94">
        <v>1478.81</v>
      </c>
      <c r="F100" s="86">
        <v>1498.72</v>
      </c>
      <c r="G100"/>
      <c r="H100"/>
      <c r="I100"/>
      <c r="J100"/>
      <c r="K100"/>
      <c r="L100"/>
      <c r="M100"/>
      <c r="N100"/>
    </row>
    <row r="101" spans="1:14">
      <c r="A101" s="38" t="s">
        <v>16</v>
      </c>
      <c r="B101" s="85">
        <v>9.5</v>
      </c>
      <c r="C101"/>
      <c r="D101" s="38" t="s">
        <v>8</v>
      </c>
      <c r="E101" s="94">
        <v>1166.8900000000001</v>
      </c>
      <c r="F101" s="86">
        <v>1174.1099999999999</v>
      </c>
      <c r="G101"/>
      <c r="H101"/>
      <c r="I101"/>
      <c r="J101"/>
      <c r="K101"/>
      <c r="L101"/>
      <c r="M101"/>
      <c r="N101"/>
    </row>
    <row r="102" spans="1:14">
      <c r="A102" s="38" t="s">
        <v>20</v>
      </c>
      <c r="B102" s="85">
        <v>8.875</v>
      </c>
      <c r="C102"/>
      <c r="D102" s="38" t="s">
        <v>9</v>
      </c>
      <c r="E102" s="94">
        <v>1243.1099999999999</v>
      </c>
      <c r="F102" s="86">
        <v>1264.1600000000001</v>
      </c>
      <c r="G102"/>
      <c r="H102"/>
      <c r="I102"/>
      <c r="J102"/>
      <c r="K102"/>
      <c r="L102"/>
      <c r="M102"/>
      <c r="N102"/>
    </row>
    <row r="103" spans="1:14">
      <c r="A103" s="38" t="s">
        <v>23</v>
      </c>
      <c r="B103" s="85">
        <v>8.5</v>
      </c>
      <c r="C103"/>
      <c r="D103" s="38" t="s">
        <v>11</v>
      </c>
      <c r="E103" s="94">
        <v>1344.9</v>
      </c>
      <c r="F103" s="86">
        <v>1375.3</v>
      </c>
      <c r="G103"/>
      <c r="H103"/>
      <c r="I103"/>
      <c r="J103"/>
      <c r="K103"/>
      <c r="L103"/>
      <c r="M103"/>
      <c r="N103"/>
    </row>
    <row r="104" spans="1:14">
      <c r="A104" s="38" t="s">
        <v>14</v>
      </c>
      <c r="B104" s="85">
        <v>8.3800000000000008</v>
      </c>
      <c r="C104"/>
      <c r="D104" s="38" t="s">
        <v>13</v>
      </c>
      <c r="E104" s="94">
        <v>1229.8900000000001</v>
      </c>
      <c r="F104" s="86">
        <v>1222.92</v>
      </c>
      <c r="G104"/>
      <c r="H104"/>
      <c r="I104"/>
      <c r="J104"/>
      <c r="K104"/>
      <c r="L104"/>
      <c r="M104"/>
      <c r="N104"/>
    </row>
    <row r="105" spans="1:14">
      <c r="A105" s="38" t="s">
        <v>9</v>
      </c>
      <c r="B105" s="85">
        <v>8.25</v>
      </c>
      <c r="C105"/>
      <c r="D105" s="38" t="s">
        <v>14</v>
      </c>
      <c r="E105" s="94">
        <v>994.65</v>
      </c>
      <c r="F105" s="86">
        <v>1045.81</v>
      </c>
      <c r="G105"/>
      <c r="H105"/>
      <c r="I105"/>
      <c r="J105"/>
      <c r="K105"/>
      <c r="L105"/>
      <c r="M105"/>
      <c r="N105"/>
    </row>
    <row r="106" spans="1:14">
      <c r="A106" s="38" t="s">
        <v>4</v>
      </c>
      <c r="B106" s="85">
        <v>8.25</v>
      </c>
      <c r="C106"/>
      <c r="D106" s="38" t="s">
        <v>16</v>
      </c>
      <c r="E106" s="94">
        <v>1314.78</v>
      </c>
      <c r="F106" s="86">
        <v>1302.51</v>
      </c>
      <c r="G106"/>
      <c r="H106"/>
      <c r="I106"/>
      <c r="J106"/>
      <c r="K106"/>
      <c r="L106"/>
      <c r="M106"/>
      <c r="N106"/>
    </row>
    <row r="107" spans="1:14">
      <c r="A107" s="38" t="s">
        <v>11</v>
      </c>
      <c r="B107" s="85">
        <v>7.65</v>
      </c>
      <c r="C107"/>
      <c r="D107" s="38" t="s">
        <v>18</v>
      </c>
      <c r="E107" s="94">
        <v>1061.05</v>
      </c>
      <c r="F107" s="86">
        <v>1047.54</v>
      </c>
      <c r="G107"/>
      <c r="H107"/>
      <c r="I107"/>
      <c r="J107"/>
      <c r="K107"/>
      <c r="L107"/>
      <c r="M107"/>
      <c r="N107"/>
    </row>
    <row r="108" spans="1:14">
      <c r="A108" s="38" t="s">
        <v>27</v>
      </c>
      <c r="B108" s="85">
        <v>7.5</v>
      </c>
      <c r="C108"/>
      <c r="D108" s="38" t="s">
        <v>20</v>
      </c>
      <c r="E108" s="94">
        <v>1269.2</v>
      </c>
      <c r="F108" s="86">
        <v>1269.3599999999999</v>
      </c>
      <c r="G108"/>
      <c r="H108"/>
      <c r="I108"/>
      <c r="J108"/>
      <c r="K108"/>
      <c r="L108"/>
      <c r="M108"/>
      <c r="N108"/>
    </row>
    <row r="109" spans="1:14">
      <c r="A109" s="38" t="s">
        <v>31</v>
      </c>
      <c r="B109" s="85">
        <v>7</v>
      </c>
      <c r="C109"/>
      <c r="D109" s="38" t="s">
        <v>31</v>
      </c>
      <c r="E109" s="94">
        <v>1038.3</v>
      </c>
      <c r="F109" s="86">
        <v>1017.27</v>
      </c>
      <c r="G109"/>
      <c r="H109"/>
      <c r="I109"/>
      <c r="J109"/>
      <c r="K109"/>
      <c r="L109"/>
      <c r="M109"/>
      <c r="N109"/>
    </row>
    <row r="110" spans="1:14">
      <c r="A110" s="38" t="s">
        <v>18</v>
      </c>
      <c r="B110" s="85">
        <v>7</v>
      </c>
      <c r="C110"/>
      <c r="D110" s="38" t="s">
        <v>23</v>
      </c>
      <c r="E110" s="94">
        <v>1617.09</v>
      </c>
      <c r="F110" s="86">
        <v>1554.4</v>
      </c>
      <c r="G110"/>
      <c r="H110"/>
      <c r="I110"/>
      <c r="J110"/>
      <c r="K110"/>
      <c r="L110"/>
      <c r="M110"/>
      <c r="N110"/>
    </row>
    <row r="111" spans="1:14">
      <c r="A111" s="38" t="s">
        <v>6</v>
      </c>
      <c r="B111" s="85">
        <v>6.25</v>
      </c>
      <c r="C111"/>
      <c r="D111" s="38" t="s">
        <v>25</v>
      </c>
      <c r="E111" s="94">
        <v>1496.7</v>
      </c>
      <c r="F111" s="86">
        <v>1481.43</v>
      </c>
      <c r="G111"/>
      <c r="H111"/>
      <c r="I111"/>
      <c r="J111"/>
      <c r="K111"/>
      <c r="L111"/>
      <c r="M111"/>
      <c r="N111"/>
    </row>
    <row r="112" spans="1:14">
      <c r="A112" s="38" t="s">
        <v>158</v>
      </c>
      <c r="B112" s="85">
        <v>6</v>
      </c>
      <c r="C112"/>
      <c r="D112" s="38" t="s">
        <v>27</v>
      </c>
      <c r="E112" s="94">
        <v>1085.81</v>
      </c>
      <c r="F112" s="86">
        <v>1178.93</v>
      </c>
      <c r="G112"/>
      <c r="H112"/>
      <c r="I112"/>
      <c r="J112"/>
      <c r="K112"/>
      <c r="L112"/>
      <c r="M112"/>
      <c r="N112"/>
    </row>
    <row r="113" spans="1:20">
      <c r="A113" s="38" t="s">
        <v>13</v>
      </c>
      <c r="B113" s="85">
        <v>6</v>
      </c>
      <c r="C113"/>
      <c r="D113" s="38" t="s">
        <v>158</v>
      </c>
      <c r="E113" s="94">
        <v>1473.12</v>
      </c>
      <c r="F113" s="86">
        <v>1440.74</v>
      </c>
      <c r="G113"/>
      <c r="H113"/>
      <c r="I113"/>
      <c r="J113"/>
      <c r="K113"/>
      <c r="L113"/>
      <c r="M113"/>
      <c r="N113"/>
    </row>
    <row r="114" spans="1:20">
      <c r="A114" s="38" t="s">
        <v>161</v>
      </c>
      <c r="B114">
        <v>119.505</v>
      </c>
      <c r="C114"/>
      <c r="D114" s="38" t="s">
        <v>161</v>
      </c>
      <c r="E114" s="94">
        <v>19027.39</v>
      </c>
      <c r="F114">
        <v>19114.620000000003</v>
      </c>
      <c r="G114"/>
      <c r="H114"/>
      <c r="I114"/>
      <c r="J114"/>
      <c r="K114"/>
      <c r="L114"/>
      <c r="M114"/>
      <c r="N114"/>
    </row>
    <row r="115" spans="1:20">
      <c r="A115"/>
      <c r="B115"/>
      <c r="C115"/>
      <c r="D115"/>
      <c r="E115"/>
      <c r="F115"/>
      <c r="G115"/>
      <c r="H115"/>
      <c r="I115"/>
      <c r="J115"/>
      <c r="K115"/>
      <c r="L115"/>
      <c r="M115"/>
      <c r="N115"/>
    </row>
    <row r="116" spans="1:20">
      <c r="A116"/>
      <c r="B116"/>
      <c r="D116"/>
      <c r="E116"/>
      <c r="F116"/>
    </row>
    <row r="117" spans="1:20">
      <c r="A117"/>
      <c r="B117"/>
      <c r="C117"/>
      <c r="D117"/>
      <c r="E117"/>
      <c r="F117"/>
      <c r="G117"/>
    </row>
    <row r="118" spans="1:20">
      <c r="A118"/>
      <c r="B118"/>
      <c r="D118"/>
      <c r="E118"/>
      <c r="F118"/>
    </row>
    <row r="119" spans="1:20">
      <c r="A119"/>
      <c r="B119"/>
      <c r="D119"/>
      <c r="E119"/>
      <c r="F119"/>
    </row>
    <row r="120" spans="1:20">
      <c r="A120"/>
      <c r="B120"/>
      <c r="D120"/>
      <c r="E120"/>
      <c r="F120"/>
    </row>
    <row r="121" spans="1:20">
      <c r="A121"/>
      <c r="B121"/>
      <c r="D121"/>
      <c r="E121"/>
      <c r="F121"/>
    </row>
    <row r="122" spans="1:20">
      <c r="A122"/>
      <c r="B122"/>
      <c r="D122"/>
      <c r="E122"/>
      <c r="F122"/>
    </row>
    <row r="123" spans="1:20">
      <c r="A123"/>
      <c r="B123"/>
      <c r="D123"/>
      <c r="E123"/>
      <c r="F123"/>
    </row>
    <row r="124" spans="1:20">
      <c r="A124"/>
      <c r="B124"/>
      <c r="D124"/>
      <c r="E124"/>
      <c r="F124"/>
    </row>
    <row r="125" spans="1:20">
      <c r="A125"/>
      <c r="B125"/>
      <c r="D125"/>
      <c r="E125"/>
      <c r="F125"/>
    </row>
    <row r="126" spans="1:20">
      <c r="A126"/>
      <c r="B126"/>
      <c r="D126"/>
      <c r="E126"/>
      <c r="F126"/>
    </row>
    <row r="127" spans="1:20">
      <c r="A127"/>
      <c r="B127"/>
      <c r="R127"/>
      <c r="S127"/>
      <c r="T127"/>
    </row>
    <row r="128" spans="1:20">
      <c r="A128"/>
      <c r="B128"/>
      <c r="R128"/>
      <c r="S128"/>
      <c r="T128"/>
    </row>
    <row r="129" spans="1:20">
      <c r="A129"/>
      <c r="B129"/>
      <c r="R129"/>
      <c r="S129"/>
      <c r="T129"/>
    </row>
    <row r="130" spans="1:20">
      <c r="A130" s="98"/>
      <c r="B130" s="98"/>
      <c r="C130" s="98"/>
      <c r="D130" s="98"/>
      <c r="E130" s="98"/>
      <c r="F130" s="98"/>
    </row>
    <row r="131" spans="1:20">
      <c r="A131" s="193"/>
      <c r="B131" s="193"/>
      <c r="C131" s="193"/>
      <c r="D131" s="193"/>
      <c r="E131" s="193"/>
      <c r="F131" s="193"/>
    </row>
    <row r="132" spans="1:20" ht="21">
      <c r="A132" s="192" t="s">
        <v>172</v>
      </c>
      <c r="B132" s="192"/>
      <c r="C132" s="192"/>
      <c r="D132" s="192"/>
      <c r="E132" s="192"/>
      <c r="F132" s="192"/>
    </row>
    <row r="134" spans="1:20">
      <c r="A134" s="75" t="s">
        <v>159</v>
      </c>
      <c r="B134" t="s">
        <v>173</v>
      </c>
      <c r="C134"/>
    </row>
    <row r="135" spans="1:20">
      <c r="A135" s="38" t="s">
        <v>95</v>
      </c>
      <c r="B135" s="92">
        <v>672449.25</v>
      </c>
      <c r="C135"/>
    </row>
    <row r="136" spans="1:20">
      <c r="A136" s="38" t="s">
        <v>90</v>
      </c>
      <c r="B136" s="92">
        <v>3158517.25</v>
      </c>
      <c r="C136"/>
    </row>
    <row r="137" spans="1:20">
      <c r="A137" s="38" t="s">
        <v>88</v>
      </c>
      <c r="B137" s="92">
        <v>5828866</v>
      </c>
      <c r="C137"/>
    </row>
    <row r="138" spans="1:20">
      <c r="A138" s="38" t="s">
        <v>86</v>
      </c>
      <c r="B138" s="92">
        <v>6993450.75</v>
      </c>
      <c r="C138"/>
    </row>
    <row r="139" spans="1:20">
      <c r="A139" s="38" t="s">
        <v>29</v>
      </c>
      <c r="B139" s="92">
        <v>7765839</v>
      </c>
      <c r="C139"/>
    </row>
    <row r="140" spans="1:20">
      <c r="A140" s="38" t="s">
        <v>89</v>
      </c>
      <c r="B140" s="92">
        <v>10044821.5</v>
      </c>
      <c r="C140"/>
    </row>
    <row r="141" spans="1:20">
      <c r="A141" s="38" t="s">
        <v>87</v>
      </c>
      <c r="B141" s="92">
        <v>12653225.5</v>
      </c>
      <c r="C141"/>
    </row>
    <row r="142" spans="1:20">
      <c r="A142" s="38" t="s">
        <v>94</v>
      </c>
      <c r="B142" s="92">
        <v>12985716.25</v>
      </c>
      <c r="C142"/>
    </row>
    <row r="143" spans="1:20">
      <c r="A143" s="38" t="s">
        <v>93</v>
      </c>
      <c r="B143" s="92">
        <v>19800913</v>
      </c>
      <c r="C143"/>
    </row>
    <row r="144" spans="1:20">
      <c r="A144" s="38" t="s">
        <v>92</v>
      </c>
      <c r="B144" s="92">
        <v>44139127</v>
      </c>
      <c r="C144"/>
    </row>
    <row r="145" spans="1:17">
      <c r="A145" s="38" t="s">
        <v>85</v>
      </c>
      <c r="B145" s="92">
        <v>59664398</v>
      </c>
      <c r="C145"/>
    </row>
    <row r="146" spans="1:17">
      <c r="A146" s="38" t="s">
        <v>91</v>
      </c>
      <c r="B146" s="92">
        <v>78327034.5</v>
      </c>
      <c r="C146"/>
    </row>
    <row r="147" spans="1:17">
      <c r="A147" s="38" t="s">
        <v>161</v>
      </c>
      <c r="B147" s="92">
        <v>262034358</v>
      </c>
      <c r="C147"/>
    </row>
    <row r="148" spans="1:17">
      <c r="A148"/>
      <c r="B148"/>
      <c r="C148"/>
    </row>
    <row r="149" spans="1:17">
      <c r="A149"/>
      <c r="B149"/>
      <c r="C149"/>
    </row>
    <row r="150" spans="1:17">
      <c r="A150"/>
      <c r="B150"/>
      <c r="C150"/>
    </row>
    <row r="151" spans="1:17">
      <c r="A151"/>
      <c r="B151"/>
      <c r="C151"/>
      <c r="D151"/>
      <c r="E151"/>
      <c r="F151"/>
    </row>
    <row r="152" spans="1:17">
      <c r="A152"/>
      <c r="B152"/>
      <c r="C152"/>
      <c r="D152"/>
      <c r="E152"/>
      <c r="F152"/>
      <c r="G152"/>
      <c r="H152"/>
      <c r="I152"/>
      <c r="J152"/>
      <c r="K152"/>
      <c r="L152"/>
      <c r="M152"/>
      <c r="N152"/>
      <c r="O152"/>
      <c r="P152"/>
      <c r="Q152"/>
    </row>
    <row r="153" spans="1:17">
      <c r="A153"/>
      <c r="B153"/>
      <c r="C153"/>
      <c r="D153"/>
      <c r="E153"/>
      <c r="F153"/>
      <c r="G153"/>
      <c r="H153"/>
      <c r="I153"/>
      <c r="J153"/>
      <c r="K153"/>
      <c r="L153"/>
      <c r="M153"/>
      <c r="N153"/>
      <c r="O153"/>
      <c r="P153"/>
      <c r="Q153"/>
    </row>
    <row r="154" spans="1:17">
      <c r="A154"/>
      <c r="B154"/>
      <c r="C154"/>
      <c r="D154"/>
      <c r="E154"/>
      <c r="F154"/>
      <c r="G154"/>
      <c r="H154"/>
      <c r="I154"/>
      <c r="J154"/>
      <c r="K154"/>
      <c r="L154"/>
      <c r="M154"/>
      <c r="N154"/>
      <c r="O154"/>
      <c r="P154"/>
      <c r="Q154"/>
    </row>
    <row r="155" spans="1:17">
      <c r="A155"/>
      <c r="B155"/>
      <c r="C155"/>
      <c r="D155"/>
      <c r="E155"/>
      <c r="F155"/>
      <c r="G155"/>
      <c r="H155"/>
      <c r="I155"/>
      <c r="J155"/>
      <c r="K155"/>
      <c r="L155"/>
      <c r="M155"/>
      <c r="N155"/>
      <c r="O155"/>
      <c r="P155"/>
      <c r="Q155"/>
    </row>
    <row r="156" spans="1:17">
      <c r="A156"/>
      <c r="B156"/>
      <c r="C156"/>
      <c r="D156"/>
      <c r="E156"/>
      <c r="F156"/>
      <c r="G156"/>
      <c r="H156"/>
      <c r="I156"/>
      <c r="J156"/>
      <c r="K156"/>
      <c r="L156"/>
      <c r="M156"/>
      <c r="N156"/>
      <c r="O156"/>
      <c r="P156"/>
      <c r="Q156"/>
    </row>
    <row r="157" spans="1:17">
      <c r="A157"/>
      <c r="B157"/>
      <c r="C157"/>
      <c r="D157"/>
      <c r="E157"/>
      <c r="F157"/>
      <c r="G157"/>
      <c r="H157"/>
      <c r="I157"/>
      <c r="J157"/>
      <c r="K157"/>
      <c r="L157"/>
      <c r="M157"/>
      <c r="N157"/>
      <c r="O157"/>
      <c r="P157"/>
      <c r="Q157"/>
    </row>
    <row r="158" spans="1:17">
      <c r="A158"/>
      <c r="B158"/>
      <c r="C158"/>
      <c r="D158"/>
      <c r="E158"/>
      <c r="F158"/>
      <c r="G158"/>
      <c r="H158"/>
      <c r="I158"/>
      <c r="J158"/>
      <c r="K158"/>
      <c r="L158"/>
      <c r="M158"/>
      <c r="N158"/>
      <c r="O158"/>
      <c r="P158"/>
      <c r="Q158"/>
    </row>
    <row r="159" spans="1:17">
      <c r="A159"/>
      <c r="B159"/>
      <c r="C159"/>
      <c r="D159"/>
      <c r="E159"/>
      <c r="F159"/>
      <c r="G159"/>
      <c r="H159"/>
      <c r="I159"/>
      <c r="J159"/>
      <c r="K159"/>
      <c r="L159"/>
      <c r="M159"/>
      <c r="N159"/>
      <c r="O159"/>
      <c r="P159"/>
      <c r="Q159"/>
    </row>
    <row r="160" spans="1:17">
      <c r="A160"/>
      <c r="B160"/>
      <c r="C160"/>
      <c r="D160"/>
      <c r="E160"/>
      <c r="F160"/>
      <c r="G160"/>
      <c r="H160"/>
      <c r="I160"/>
      <c r="J160"/>
      <c r="K160"/>
      <c r="L160"/>
      <c r="M160"/>
      <c r="N160"/>
      <c r="O160"/>
      <c r="P160"/>
      <c r="Q160"/>
    </row>
    <row r="161" spans="1:17">
      <c r="A161"/>
      <c r="B161"/>
      <c r="C161"/>
      <c r="D161"/>
      <c r="E161"/>
      <c r="F161"/>
      <c r="G161"/>
      <c r="H161"/>
      <c r="I161"/>
      <c r="J161"/>
      <c r="K161"/>
      <c r="L161"/>
      <c r="M161"/>
      <c r="N161"/>
      <c r="O161"/>
      <c r="P161"/>
      <c r="Q161"/>
    </row>
    <row r="162" spans="1:17">
      <c r="A162"/>
      <c r="B162"/>
      <c r="C162"/>
      <c r="D162"/>
      <c r="E162"/>
      <c r="F162"/>
      <c r="G162"/>
      <c r="H162"/>
      <c r="I162"/>
      <c r="J162"/>
      <c r="K162"/>
      <c r="L162"/>
      <c r="M162"/>
      <c r="N162"/>
      <c r="O162"/>
      <c r="P162"/>
      <c r="Q162"/>
    </row>
    <row r="163" spans="1:17">
      <c r="A163"/>
      <c r="B163"/>
      <c r="C163"/>
      <c r="D163"/>
      <c r="E163"/>
      <c r="F163"/>
      <c r="G163"/>
      <c r="H163"/>
      <c r="I163"/>
      <c r="J163"/>
      <c r="K163"/>
      <c r="L163"/>
      <c r="M163"/>
      <c r="N163"/>
      <c r="O163"/>
      <c r="P163"/>
      <c r="Q163"/>
    </row>
    <row r="164" spans="1:17">
      <c r="A164"/>
      <c r="B164"/>
      <c r="C164"/>
      <c r="D164"/>
      <c r="E164"/>
      <c r="F164"/>
      <c r="G164"/>
      <c r="H164"/>
      <c r="I164"/>
      <c r="J164"/>
      <c r="K164"/>
      <c r="L164"/>
      <c r="M164"/>
      <c r="N164"/>
      <c r="O164"/>
      <c r="P164"/>
      <c r="Q164"/>
    </row>
    <row r="165" spans="1:17">
      <c r="A165"/>
      <c r="B165"/>
      <c r="C165"/>
      <c r="D165"/>
      <c r="E165"/>
      <c r="F165"/>
      <c r="G165"/>
      <c r="H165"/>
      <c r="I165"/>
      <c r="J165"/>
      <c r="K165"/>
      <c r="L165"/>
      <c r="M165"/>
      <c r="N165"/>
      <c r="O165"/>
      <c r="P165"/>
      <c r="Q165"/>
    </row>
    <row r="166" spans="1:17">
      <c r="A166"/>
      <c r="B166"/>
      <c r="C166"/>
      <c r="D166"/>
      <c r="E166"/>
      <c r="F166"/>
      <c r="G166"/>
      <c r="H166"/>
      <c r="I166"/>
      <c r="J166"/>
      <c r="K166"/>
      <c r="L166"/>
      <c r="M166"/>
      <c r="N166"/>
      <c r="O166"/>
      <c r="P166"/>
      <c r="Q166"/>
    </row>
    <row r="167" spans="1:17">
      <c r="A167"/>
      <c r="B167"/>
      <c r="C167"/>
    </row>
    <row r="168" spans="1:17">
      <c r="A168"/>
      <c r="B168"/>
      <c r="C168"/>
    </row>
    <row r="169" spans="1:17">
      <c r="A169"/>
      <c r="B169"/>
      <c r="C169"/>
    </row>
    <row r="170" spans="1:17">
      <c r="A170"/>
    </row>
    <row r="171" spans="1:17">
      <c r="A171"/>
    </row>
    <row r="172" spans="1:17">
      <c r="A172"/>
    </row>
    <row r="173" spans="1:17">
      <c r="A173"/>
    </row>
    <row r="174" spans="1:17">
      <c r="A174"/>
    </row>
    <row r="175" spans="1:17">
      <c r="A175"/>
    </row>
    <row r="176" spans="1:17">
      <c r="A176"/>
    </row>
    <row r="177" spans="1:1">
      <c r="A177"/>
    </row>
    <row r="178" spans="1:1">
      <c r="A178"/>
    </row>
    <row r="179" spans="1:1">
      <c r="A179"/>
    </row>
    <row r="180" spans="1:1">
      <c r="A180"/>
    </row>
  </sheetData>
  <mergeCells count="8">
    <mergeCell ref="A132:F132"/>
    <mergeCell ref="A95:F95"/>
    <mergeCell ref="A2:F2"/>
    <mergeCell ref="A3:F3"/>
    <mergeCell ref="A24:F24"/>
    <mergeCell ref="A25:F25"/>
    <mergeCell ref="A131:F131"/>
    <mergeCell ref="A96:F96"/>
  </mergeCells>
  <pageMargins left="0.7" right="0.7" top="0.75" bottom="0.75" header="0.3" footer="0.3"/>
  <pageSetup orientation="portrait"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1C176-4E0C-4B3F-8C26-7BEC2D024DB3}">
  <sheetPr codeName="Sheet13">
    <tabColor rgb="FFC00000"/>
  </sheetPr>
  <dimension ref="A1"/>
  <sheetViews>
    <sheetView showGridLines="0" showRowColHeaders="0" tabSelected="1" zoomScale="116" zoomScaleNormal="116" workbookViewId="0">
      <selection activeCell="H59" sqref="H59"/>
    </sheetView>
  </sheetViews>
  <sheetFormatPr baseColWidth="10" defaultColWidth="9.1640625" defaultRowHeight="15"/>
  <cols>
    <col min="1" max="35" width="9.1640625" style="45"/>
    <col min="36" max="36" width="9.1640625" style="45" customWidth="1"/>
    <col min="37" max="16384" width="9.1640625" style="45"/>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0ED96-15E0-44BF-A7D0-5438E951F7D6}">
  <sheetPr>
    <tabColor rgb="FFFF0000"/>
  </sheetPr>
  <dimension ref="A1"/>
  <sheetViews>
    <sheetView showGridLines="0" showRowColHeaders="0" zoomScaleNormal="100" workbookViewId="0">
      <selection activeCell="AB7" sqref="AB7"/>
    </sheetView>
  </sheetViews>
  <sheetFormatPr baseColWidth="10" defaultColWidth="9.1640625" defaultRowHeight="15"/>
  <cols>
    <col min="1" max="16384" width="9.1640625" style="143"/>
  </cols>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6D250-068D-48EB-A36F-E0B7DFB7F8CC}">
  <sheetPr codeName="Sheet15">
    <tabColor rgb="FFFFC000"/>
  </sheetPr>
  <dimension ref="D3:J24"/>
  <sheetViews>
    <sheetView showGridLines="0" showRowColHeaders="0" workbookViewId="0"/>
  </sheetViews>
  <sheetFormatPr baseColWidth="10" defaultColWidth="8.83203125" defaultRowHeight="15"/>
  <cols>
    <col min="4" max="4" width="9.5" customWidth="1"/>
    <col min="5" max="5" width="36.5" bestFit="1" customWidth="1"/>
    <col min="6" max="6" width="45.5" bestFit="1" customWidth="1"/>
    <col min="7" max="7" width="30" bestFit="1" customWidth="1"/>
    <col min="8" max="8" width="40.1640625" customWidth="1"/>
  </cols>
  <sheetData>
    <row r="3" spans="4:9" ht="16" thickBot="1"/>
    <row r="4" spans="4:9">
      <c r="D4" s="127"/>
      <c r="E4" s="128"/>
      <c r="F4" s="128"/>
      <c r="G4" s="128"/>
      <c r="H4" s="128"/>
      <c r="I4" s="129"/>
    </row>
    <row r="5" spans="4:9" ht="16" thickBot="1">
      <c r="D5" s="130"/>
      <c r="I5" s="131"/>
    </row>
    <row r="6" spans="4:9" ht="16" thickTop="1">
      <c r="D6" s="130"/>
      <c r="E6" s="194" t="s">
        <v>249</v>
      </c>
      <c r="F6" s="195"/>
      <c r="G6" s="195"/>
      <c r="H6" s="196"/>
      <c r="I6" s="131"/>
    </row>
    <row r="7" spans="4:9" ht="16" thickBot="1">
      <c r="D7" s="130"/>
      <c r="E7" s="197"/>
      <c r="F7" s="198"/>
      <c r="G7" s="198"/>
      <c r="H7" s="199"/>
      <c r="I7" s="131"/>
    </row>
    <row r="8" spans="4:9" ht="33" thickTop="1" thickBot="1">
      <c r="D8" s="130"/>
      <c r="E8" s="139"/>
      <c r="F8" s="139"/>
      <c r="G8" s="139"/>
      <c r="H8" s="139"/>
      <c r="I8" s="131"/>
    </row>
    <row r="9" spans="4:9" ht="22" thickTop="1">
      <c r="D9" s="130"/>
      <c r="E9" s="140" t="s">
        <v>174</v>
      </c>
      <c r="F9" s="140" t="s">
        <v>175</v>
      </c>
      <c r="G9" s="140" t="s">
        <v>176</v>
      </c>
      <c r="H9" s="140" t="s">
        <v>177</v>
      </c>
      <c r="I9" s="131"/>
    </row>
    <row r="10" spans="4:9" ht="26">
      <c r="D10" s="130"/>
      <c r="E10" s="99" t="s">
        <v>178</v>
      </c>
      <c r="F10" s="99" t="s">
        <v>179</v>
      </c>
      <c r="G10" s="83"/>
      <c r="H10" s="95"/>
      <c r="I10" s="131"/>
    </row>
    <row r="11" spans="4:9" ht="29">
      <c r="D11" s="130"/>
      <c r="E11" s="100" t="s">
        <v>180</v>
      </c>
      <c r="F11" s="100" t="s">
        <v>179</v>
      </c>
      <c r="G11" s="97"/>
      <c r="H11" s="80"/>
      <c r="I11" s="131"/>
    </row>
    <row r="12" spans="4:9" ht="26">
      <c r="D12" s="130"/>
      <c r="E12" s="99" t="s">
        <v>181</v>
      </c>
      <c r="F12" s="99" t="s">
        <v>182</v>
      </c>
      <c r="G12" s="83"/>
      <c r="H12" s="96"/>
      <c r="I12" s="131"/>
    </row>
    <row r="13" spans="4:9" ht="29">
      <c r="D13" s="130"/>
      <c r="E13" s="101" t="s">
        <v>183</v>
      </c>
      <c r="F13" s="101" t="s">
        <v>179</v>
      </c>
      <c r="G13" s="84"/>
      <c r="H13" s="81"/>
      <c r="I13" s="131"/>
    </row>
    <row r="14" spans="4:9">
      <c r="D14" s="130"/>
      <c r="I14" s="131"/>
    </row>
    <row r="15" spans="4:9" ht="16" thickBot="1">
      <c r="D15" s="136"/>
      <c r="E15" s="137"/>
      <c r="F15" s="137"/>
      <c r="G15" s="137"/>
      <c r="H15" s="141"/>
      <c r="I15" s="138"/>
    </row>
    <row r="16" spans="4:9">
      <c r="G16" s="15"/>
      <c r="H16" s="15"/>
    </row>
    <row r="17" spans="7:10">
      <c r="G17" s="15"/>
      <c r="H17" s="15"/>
    </row>
    <row r="18" spans="7:10">
      <c r="G18" s="15"/>
    </row>
    <row r="23" spans="7:10">
      <c r="J23" s="82"/>
    </row>
    <row r="24" spans="7:10">
      <c r="J24" s="82"/>
    </row>
  </sheetData>
  <mergeCells count="1">
    <mergeCell ref="E6:H7"/>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5BD29-4B58-49B9-8D9D-E249FACAB526}">
  <sheetPr codeName="Sheet16">
    <tabColor rgb="FFFFC000"/>
  </sheetPr>
  <dimension ref="E3:J18"/>
  <sheetViews>
    <sheetView showGridLines="0" showRowColHeaders="0" workbookViewId="0"/>
  </sheetViews>
  <sheetFormatPr baseColWidth="10" defaultColWidth="8.83203125" defaultRowHeight="15"/>
  <cols>
    <col min="6" max="6" width="24.5" bestFit="1" customWidth="1"/>
    <col min="7" max="7" width="40.5" customWidth="1"/>
    <col min="8" max="8" width="30.83203125" customWidth="1"/>
  </cols>
  <sheetData>
    <row r="3" spans="5:10" ht="16" thickBot="1"/>
    <row r="4" spans="5:10">
      <c r="E4" s="127"/>
      <c r="F4" s="128"/>
      <c r="G4" s="128"/>
      <c r="H4" s="128"/>
      <c r="I4" s="129"/>
    </row>
    <row r="5" spans="5:10">
      <c r="E5" s="130"/>
      <c r="I5" s="131"/>
    </row>
    <row r="6" spans="5:10" ht="31">
      <c r="E6" s="130"/>
      <c r="F6" s="200" t="s">
        <v>229</v>
      </c>
      <c r="G6" s="200"/>
      <c r="H6" s="200"/>
      <c r="I6" s="131"/>
    </row>
    <row r="7" spans="5:10">
      <c r="E7" s="130"/>
      <c r="I7" s="131"/>
    </row>
    <row r="8" spans="5:10" ht="18" customHeight="1">
      <c r="E8" s="130"/>
      <c r="F8" s="132" t="s">
        <v>230</v>
      </c>
      <c r="G8" s="132" t="s">
        <v>231</v>
      </c>
      <c r="H8" s="132" t="s">
        <v>232</v>
      </c>
      <c r="I8" s="131"/>
    </row>
    <row r="9" spans="5:10" ht="22.5" customHeight="1">
      <c r="E9" s="130"/>
      <c r="F9" s="133" t="s">
        <v>233</v>
      </c>
      <c r="G9" s="133" t="s">
        <v>234</v>
      </c>
      <c r="H9" s="134"/>
      <c r="I9" s="131"/>
      <c r="J9" s="15"/>
    </row>
    <row r="10" spans="5:10" ht="22.5" customHeight="1">
      <c r="E10" s="130"/>
      <c r="F10" s="133" t="s">
        <v>235</v>
      </c>
      <c r="G10" s="133" t="s">
        <v>236</v>
      </c>
      <c r="I10" s="131"/>
      <c r="J10" s="15"/>
    </row>
    <row r="11" spans="5:10" ht="22.5" customHeight="1">
      <c r="E11" s="130"/>
      <c r="F11" s="133" t="s">
        <v>237</v>
      </c>
      <c r="G11" s="133" t="s">
        <v>238</v>
      </c>
      <c r="H11" s="134"/>
      <c r="I11" s="131"/>
    </row>
    <row r="12" spans="5:10" ht="22.5" customHeight="1">
      <c r="E12" s="130"/>
      <c r="F12" s="133" t="s">
        <v>239</v>
      </c>
      <c r="G12" s="133" t="s">
        <v>240</v>
      </c>
      <c r="H12" s="134"/>
      <c r="I12" s="131"/>
    </row>
    <row r="13" spans="5:10" ht="22.5" customHeight="1">
      <c r="E13" s="130"/>
      <c r="F13" s="133" t="s">
        <v>241</v>
      </c>
      <c r="G13" s="133" t="s">
        <v>242</v>
      </c>
      <c r="H13" s="134"/>
      <c r="I13" s="131"/>
    </row>
    <row r="14" spans="5:10" ht="22.5" customHeight="1">
      <c r="E14" s="130"/>
      <c r="F14" s="133" t="s">
        <v>243</v>
      </c>
      <c r="G14" s="133" t="s">
        <v>244</v>
      </c>
      <c r="I14" s="131"/>
    </row>
    <row r="15" spans="5:10" ht="22.5" customHeight="1">
      <c r="E15" s="130"/>
      <c r="F15" s="133" t="s">
        <v>245</v>
      </c>
      <c r="G15" s="133" t="s">
        <v>246</v>
      </c>
      <c r="H15" s="134"/>
      <c r="I15" s="131"/>
    </row>
    <row r="16" spans="5:10" ht="22.5" customHeight="1">
      <c r="E16" s="130"/>
      <c r="F16" s="135" t="s">
        <v>247</v>
      </c>
      <c r="G16" s="135" t="s">
        <v>248</v>
      </c>
      <c r="I16" s="131"/>
    </row>
    <row r="17" spans="5:9">
      <c r="E17" s="130"/>
      <c r="I17" s="131"/>
    </row>
    <row r="18" spans="5:9" ht="16" thickBot="1">
      <c r="E18" s="136"/>
      <c r="F18" s="137"/>
      <c r="G18" s="137"/>
      <c r="H18" s="137"/>
      <c r="I18" s="138"/>
    </row>
  </sheetData>
  <mergeCells count="1">
    <mergeCell ref="F6:H6"/>
  </mergeCell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49899-1CFC-4E3F-95B4-63D3BC6392C9}">
  <sheetPr codeName="Sheet3">
    <tabColor rgb="FFFFC000"/>
  </sheetPr>
  <dimension ref="G2:M50"/>
  <sheetViews>
    <sheetView showGridLines="0" showRowColHeaders="0" workbookViewId="0"/>
  </sheetViews>
  <sheetFormatPr baseColWidth="10" defaultColWidth="8.83203125" defaultRowHeight="19"/>
  <cols>
    <col min="7" max="7" width="11" style="76" customWidth="1"/>
    <col min="8" max="8" width="84.5" bestFit="1" customWidth="1"/>
    <col min="14" max="14" width="17.33203125" bestFit="1" customWidth="1"/>
    <col min="16" max="17" width="17.33203125" bestFit="1" customWidth="1"/>
    <col min="18" max="18" width="11.83203125" bestFit="1" customWidth="1"/>
    <col min="19" max="21" width="4.83203125" bestFit="1" customWidth="1"/>
    <col min="22" max="22" width="5.83203125" bestFit="1" customWidth="1"/>
    <col min="23" max="23" width="3.5" bestFit="1" customWidth="1"/>
    <col min="24" max="24" width="4.33203125" bestFit="1" customWidth="1"/>
    <col min="25" max="31" width="3.83203125" bestFit="1" customWidth="1"/>
    <col min="32" max="32" width="11.33203125" bestFit="1" customWidth="1"/>
  </cols>
  <sheetData>
    <row r="2" spans="7:13" ht="20.25" customHeight="1">
      <c r="G2" s="201" t="s">
        <v>184</v>
      </c>
      <c r="H2" s="201"/>
    </row>
    <row r="3" spans="7:13" ht="18.75" customHeight="1">
      <c r="G3" s="201"/>
      <c r="H3" s="201"/>
    </row>
    <row r="4" spans="7:13" ht="18.75" customHeight="1">
      <c r="G4" s="142"/>
      <c r="H4" s="142"/>
    </row>
    <row r="5" spans="7:13">
      <c r="G5" s="76" t="s">
        <v>35</v>
      </c>
      <c r="H5" s="13" t="s">
        <v>36</v>
      </c>
    </row>
    <row r="6" spans="7:13">
      <c r="G6" s="76">
        <v>1</v>
      </c>
      <c r="H6" s="13" t="s">
        <v>185</v>
      </c>
      <c r="M6" s="79"/>
    </row>
    <row r="7" spans="7:13">
      <c r="H7" s="14" t="s">
        <v>186</v>
      </c>
      <c r="M7" s="79"/>
    </row>
    <row r="8" spans="7:13">
      <c r="H8" s="14" t="s">
        <v>187</v>
      </c>
      <c r="M8" s="79"/>
    </row>
    <row r="9" spans="7:13">
      <c r="G9" s="76">
        <v>2</v>
      </c>
      <c r="H9" s="13" t="s">
        <v>188</v>
      </c>
      <c r="M9" s="79"/>
    </row>
    <row r="10" spans="7:13">
      <c r="H10" s="14" t="s">
        <v>189</v>
      </c>
      <c r="M10" s="79"/>
    </row>
    <row r="11" spans="7:13">
      <c r="H11" s="14" t="s">
        <v>190</v>
      </c>
      <c r="M11" s="79"/>
    </row>
    <row r="12" spans="7:13">
      <c r="G12" s="76">
        <v>3</v>
      </c>
      <c r="H12" s="13" t="s">
        <v>191</v>
      </c>
      <c r="M12" s="79"/>
    </row>
    <row r="13" spans="7:13">
      <c r="H13" s="14" t="s">
        <v>192</v>
      </c>
      <c r="M13" s="79"/>
    </row>
    <row r="14" spans="7:13">
      <c r="H14" s="14" t="s">
        <v>193</v>
      </c>
      <c r="M14" s="79"/>
    </row>
    <row r="15" spans="7:13">
      <c r="G15" s="76">
        <v>4</v>
      </c>
      <c r="H15" s="13" t="s">
        <v>194</v>
      </c>
      <c r="M15" s="79"/>
    </row>
    <row r="16" spans="7:13">
      <c r="H16" s="14" t="s">
        <v>195</v>
      </c>
      <c r="M16" s="79"/>
    </row>
    <row r="17" spans="7:13">
      <c r="H17" s="14" t="s">
        <v>196</v>
      </c>
      <c r="M17" s="79"/>
    </row>
    <row r="18" spans="7:13">
      <c r="G18" s="76">
        <v>5</v>
      </c>
      <c r="H18" s="13" t="s">
        <v>197</v>
      </c>
      <c r="M18" s="79"/>
    </row>
    <row r="19" spans="7:13">
      <c r="H19" s="14" t="s">
        <v>198</v>
      </c>
      <c r="M19" s="79"/>
    </row>
    <row r="20" spans="7:13">
      <c r="H20" s="14" t="s">
        <v>199</v>
      </c>
      <c r="M20" s="79"/>
    </row>
    <row r="21" spans="7:13">
      <c r="G21" s="76">
        <v>6</v>
      </c>
      <c r="H21" s="13" t="s">
        <v>200</v>
      </c>
    </row>
    <row r="22" spans="7:13">
      <c r="H22" s="14" t="s">
        <v>201</v>
      </c>
    </row>
    <row r="23" spans="7:13">
      <c r="H23" s="14" t="s">
        <v>202</v>
      </c>
    </row>
    <row r="24" spans="7:13">
      <c r="G24" s="76">
        <v>7</v>
      </c>
      <c r="H24" s="13" t="s">
        <v>158</v>
      </c>
    </row>
    <row r="25" spans="7:13">
      <c r="H25" s="14" t="s">
        <v>203</v>
      </c>
    </row>
    <row r="26" spans="7:13">
      <c r="H26" s="14" t="s">
        <v>204</v>
      </c>
    </row>
    <row r="27" spans="7:13">
      <c r="G27" s="76">
        <v>8</v>
      </c>
      <c r="H27" s="13" t="s">
        <v>205</v>
      </c>
    </row>
    <row r="28" spans="7:13">
      <c r="H28" s="14" t="s">
        <v>206</v>
      </c>
    </row>
    <row r="29" spans="7:13">
      <c r="H29" s="14" t="s">
        <v>207</v>
      </c>
    </row>
    <row r="30" spans="7:13">
      <c r="G30" s="76">
        <v>9</v>
      </c>
      <c r="H30" s="13" t="s">
        <v>208</v>
      </c>
    </row>
    <row r="31" spans="7:13">
      <c r="H31" s="14" t="s">
        <v>209</v>
      </c>
    </row>
    <row r="32" spans="7:13">
      <c r="H32" s="14" t="s">
        <v>210</v>
      </c>
    </row>
    <row r="33" spans="7:8">
      <c r="G33" s="76">
        <v>10</v>
      </c>
      <c r="H33" s="13" t="s">
        <v>211</v>
      </c>
    </row>
    <row r="34" spans="7:8">
      <c r="H34" s="14" t="s">
        <v>212</v>
      </c>
    </row>
    <row r="35" spans="7:8">
      <c r="H35" s="14" t="s">
        <v>213</v>
      </c>
    </row>
    <row r="36" spans="7:8">
      <c r="G36" s="76">
        <v>11</v>
      </c>
      <c r="H36" s="13" t="s">
        <v>214</v>
      </c>
    </row>
    <row r="37" spans="7:8">
      <c r="H37" s="14" t="s">
        <v>215</v>
      </c>
    </row>
    <row r="38" spans="7:8">
      <c r="H38" s="14" t="s">
        <v>216</v>
      </c>
    </row>
    <row r="39" spans="7:8">
      <c r="G39" s="76">
        <v>12</v>
      </c>
      <c r="H39" s="13" t="s">
        <v>217</v>
      </c>
    </row>
    <row r="40" spans="7:8">
      <c r="H40" s="14" t="s">
        <v>218</v>
      </c>
    </row>
    <row r="41" spans="7:8">
      <c r="H41" s="14" t="s">
        <v>219</v>
      </c>
    </row>
    <row r="42" spans="7:8">
      <c r="G42" s="76">
        <v>13</v>
      </c>
      <c r="H42" s="13" t="s">
        <v>220</v>
      </c>
    </row>
    <row r="43" spans="7:8">
      <c r="H43" s="14" t="s">
        <v>221</v>
      </c>
    </row>
    <row r="44" spans="7:8">
      <c r="H44" s="14" t="s">
        <v>222</v>
      </c>
    </row>
    <row r="45" spans="7:8">
      <c r="G45" s="76">
        <v>14</v>
      </c>
      <c r="H45" s="13" t="s">
        <v>223</v>
      </c>
    </row>
    <row r="46" spans="7:8">
      <c r="H46" s="14" t="s">
        <v>224</v>
      </c>
    </row>
    <row r="47" spans="7:8">
      <c r="H47" s="14" t="s">
        <v>225</v>
      </c>
    </row>
    <row r="48" spans="7:8">
      <c r="G48" s="76">
        <v>15</v>
      </c>
      <c r="H48" s="13" t="s">
        <v>226</v>
      </c>
    </row>
    <row r="49" spans="8:8">
      <c r="H49" s="14" t="s">
        <v>227</v>
      </c>
    </row>
    <row r="50" spans="8:8">
      <c r="H50" s="14" t="s">
        <v>228</v>
      </c>
    </row>
  </sheetData>
  <mergeCells count="1">
    <mergeCell ref="G2:H3"/>
  </mergeCells>
  <phoneticPr fontId="16" type="noConversion"/>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ae753153-0209-412b-bab4-39aaa8241f5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6F1ABF5231A12F439A01A9EDE427CC65" ma:contentTypeVersion="10" ma:contentTypeDescription="Create a new document." ma:contentTypeScope="" ma:versionID="18f82c58212176b3246f93c3513c61f6">
  <xsd:schema xmlns:xsd="http://www.w3.org/2001/XMLSchema" xmlns:xs="http://www.w3.org/2001/XMLSchema" xmlns:p="http://schemas.microsoft.com/office/2006/metadata/properties" xmlns:ns3="ae753153-0209-412b-bab4-39aaa8241f53" targetNamespace="http://schemas.microsoft.com/office/2006/metadata/properties" ma:root="true" ma:fieldsID="9143d22dbc9367922812b0e0a462920d" ns3:_="">
    <xsd:import namespace="ae753153-0209-412b-bab4-39aaa8241f5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ServiceSystemTags" minOccurs="0"/>
                <xsd:element ref="ns3:MediaServiceOCR"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753153-0209-412b-bab4-39aaa8241f5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A97D711-6C96-4B34-85F6-001BC78D820E}">
  <ds:schemaRefs>
    <ds:schemaRef ds:uri="http://schemas.microsoft.com/sharepoint/v3/contenttype/forms"/>
  </ds:schemaRefs>
</ds:datastoreItem>
</file>

<file path=customXml/itemProps2.xml><?xml version="1.0" encoding="utf-8"?>
<ds:datastoreItem xmlns:ds="http://schemas.openxmlformats.org/officeDocument/2006/customXml" ds:itemID="{C0FD53DD-1817-4B3E-8CC7-7F00FBD8D4B0}">
  <ds:schemaRefs>
    <ds:schemaRef ds:uri="ae753153-0209-412b-bab4-39aaa8241f53"/>
    <ds:schemaRef ds:uri="http://schemas.microsoft.com/office/infopath/2007/PartnerControls"/>
    <ds:schemaRef ds:uri="http://purl.org/dc/terms/"/>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 ds:uri="http://purl.org/dc/dcmitype/"/>
    <ds:schemaRef ds:uri="http://purl.org/dc/elements/1.1/"/>
  </ds:schemaRefs>
</ds:datastoreItem>
</file>

<file path=customXml/itemProps3.xml><?xml version="1.0" encoding="utf-8"?>
<ds:datastoreItem xmlns:ds="http://schemas.openxmlformats.org/officeDocument/2006/customXml" ds:itemID="{23485BDA-09BE-41D7-B7DD-9BCBA1B50DC9}">
  <ds:schemaRefs>
    <ds:schemaRef ds:uri="http://schemas.microsoft.com/DataMashup"/>
  </ds:schemaRefs>
</ds:datastoreItem>
</file>

<file path=customXml/itemProps4.xml><?xml version="1.0" encoding="utf-8"?>
<ds:datastoreItem xmlns:ds="http://schemas.openxmlformats.org/officeDocument/2006/customXml" ds:itemID="{968EA89E-F028-4C2F-8281-B6F0825C37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e753153-0209-412b-bab4-39aaa8241f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Plan</vt:lpstr>
      <vt:lpstr>Tax</vt:lpstr>
      <vt:lpstr>Pollution </vt:lpstr>
      <vt:lpstr>weekly earnings</vt:lpstr>
      <vt:lpstr>snowfall</vt:lpstr>
      <vt:lpstr>Water Quality Violations</vt:lpstr>
      <vt:lpstr>Cost of Living</vt:lpstr>
      <vt:lpstr>Rubric</vt:lpstr>
      <vt:lpstr>Data Table 2</vt:lpstr>
      <vt:lpstr>Data Table</vt:lpstr>
      <vt:lpstr>Data Table2</vt:lpstr>
      <vt:lpstr>Population</vt:lpstr>
      <vt:lpstr>Pivot Tables</vt:lpstr>
      <vt:lpstr>Dashboard</vt:lpstr>
      <vt:lpstr>Board 2</vt:lpstr>
      <vt:lpstr>Team Members</vt:lpstr>
      <vt:lpstr>Data Sources</vt:lpstr>
      <vt:lpstr>Ranking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Sarthak Raj</dc:creator>
  <cp:keywords/>
  <dc:description/>
  <cp:lastModifiedBy>Sarthak Raj</cp:lastModifiedBy>
  <cp:revision/>
  <dcterms:created xsi:type="dcterms:W3CDTF">2024-11-26T05:05:57Z</dcterms:created>
  <dcterms:modified xsi:type="dcterms:W3CDTF">2025-02-21T03:41:27Z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0x0101006F1ABF5231A12F439A01A9EDE427CC65</vt:lpwstr>
  </property>
</Properties>
</file>